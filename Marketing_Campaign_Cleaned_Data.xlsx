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76422027cf7ff/Desktop/LW_Projects/Cap_Project_3/"/>
    </mc:Choice>
  </mc:AlternateContent>
  <xr:revisionPtr revIDLastSave="2502" documentId="8_{B41077AC-1D9B-4683-9C5C-2C2A133E4FB5}" xr6:coauthVersionLast="47" xr6:coauthVersionMax="47" xr10:uidLastSave="{547E320D-3032-4DAE-A4AA-E8C53B0DB9C2}"/>
  <bookViews>
    <workbookView xWindow="-108" yWindow="-108" windowWidth="23256" windowHeight="12456" activeTab="5" xr2:uid="{488FF97B-F391-4259-9D52-AE80E4A75F15}"/>
  </bookViews>
  <sheets>
    <sheet name="Cleaned Sheet" sheetId="4" r:id="rId1"/>
    <sheet name="Pivot Tables" sheetId="6" r:id="rId2"/>
    <sheet name="Insights 1" sheetId="8" r:id="rId3"/>
    <sheet name="Insights 2" sheetId="10" r:id="rId4"/>
    <sheet name="Pivot Tables for Visualization" sheetId="13" r:id="rId5"/>
    <sheet name="Charts" sheetId="12" r:id="rId6"/>
  </sheets>
  <definedNames>
    <definedName name="_xlnm._FilterDatabase" localSheetId="3" hidden="1">'Insights 2'!$A$12:$C$19</definedName>
    <definedName name="_xlnm._FilterDatabase" localSheetId="1" hidden="1">'Pivot Tables'!$A$3:$C$233</definedName>
    <definedName name="ExternalData_3" localSheetId="0" hidden="1">'Cleaned Sheet'!$A$1:$Q$221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202457-97B8-4D4C-984E-609366A4C0EF}" keepAlive="1" name="Query - _C093_UrbanKart_Electronics_Holi_Dhamaka_4_0_Radio_28_05_2025_12_07_2025_323131_" description="Connection to the '_C093_UrbanKart_Electronics_Holi_Dhamaka_4_0_Radio_28_05_2025_12_07_2025_323131_' query in the workbook." type="5" refreshedVersion="8" background="1" saveData="1">
    <dbPr connection="Provider=Microsoft.Mashup.OleDb.1;Data Source=$Workbook$;Location=_C093_UrbanKart_Electronics_Holi_Dhamaka_4_0_Radio_28_05_2025_12_07_2025_323131_;Extended Properties=&quot;&quot;" command="SELECT * FROM [_C093_UrbanKart_Electronics_Holi_Dhamaka_4_0_Radio_28_05_2025_12_07_2025_323131_]"/>
  </connection>
  <connection id="2" xr16:uid="{E2B316BB-BB17-49A1-A5FE-405025AFCBDA}" keepAlive="1" name="Query - C093_UrbanKart Electronics Holi Dhamaka 4 0_Radio_28-05-2025_12-07-2025_323131_n" description="Connection to the 'C093_UrbanKart Electronics Holi Dhamaka 4 0_Radio_28-05-2025_12-07-2025_323131_n' query in the workbook." type="5" refreshedVersion="0" background="1">
    <dbPr connection="Provider=Microsoft.Mashup.OleDb.1;Data Source=$Workbook$;Location=&quot;C093_UrbanKart Electronics Holi Dhamaka 4 0_Radio_28-05-2025_12-07-2025_323131_n&quot;;Extended Properties=&quot;&quot;" command="SELECT * FROM [C093_UrbanKart Electronics Holi Dhamaka 4 0_Radio_28-05-2025_12-07-2025_323131_n]"/>
  </connection>
  <connection id="3" xr16:uid="{C3D40852-AA52-4E79-BEBD-6E05A64181D2}" keepAlive="1" name="Query - Marketing_Campaign_Raw_Data" description="Connection to the 'Marketing_Campaign_Raw_Data' query in the workbook." type="5" refreshedVersion="0" background="1">
    <dbPr connection="Provider=Microsoft.Mashup.OleDb.1;Data Source=$Workbook$;Location=Marketing_Campaign_Raw_Data;Extended Properties=&quot;&quot;" command="SELECT * FROM [Marketing_Campaign_Raw_Data]"/>
  </connection>
</connections>
</file>

<file path=xl/sharedStrings.xml><?xml version="1.0" encoding="utf-8"?>
<sst xmlns="http://schemas.openxmlformats.org/spreadsheetml/2006/main" count="1806" uniqueCount="512">
  <si>
    <t>Campaign_ID</t>
  </si>
  <si>
    <t>Campaign_Name</t>
  </si>
  <si>
    <t>Channel</t>
  </si>
  <si>
    <t>Start_Date</t>
  </si>
  <si>
    <t>End_Date</t>
  </si>
  <si>
    <t>Budget_Spent (INR)</t>
  </si>
  <si>
    <t>Impressions</t>
  </si>
  <si>
    <t>Clicks</t>
  </si>
  <si>
    <t>Conversions</t>
  </si>
  <si>
    <t>Revenue_Generated (INR)</t>
  </si>
  <si>
    <t>Cost Per Click</t>
  </si>
  <si>
    <t>Cost Per Conversion</t>
  </si>
  <si>
    <t>Profil/Loss</t>
  </si>
  <si>
    <t>C093</t>
  </si>
  <si>
    <t>UrbanKart Electronics Holi Dhamaka 4.0</t>
  </si>
  <si>
    <t>Radio</t>
  </si>
  <si>
    <t>C110</t>
  </si>
  <si>
    <t>UrbanKart Electronics Monsoon Clearance</t>
  </si>
  <si>
    <t>C159</t>
  </si>
  <si>
    <t>UrbanKart Electronics Weekend Bonanza</t>
  </si>
  <si>
    <t>C001</t>
  </si>
  <si>
    <t>UrbanKart Mobiles Independence Day Special</t>
  </si>
  <si>
    <t>Email</t>
  </si>
  <si>
    <t>C002</t>
  </si>
  <si>
    <t>UrbanKart Beauty Republic Day Sale</t>
  </si>
  <si>
    <t>Google Ads</t>
  </si>
  <si>
    <t>C003</t>
  </si>
  <si>
    <t>UrbanKart Beauty Diwali Offer</t>
  </si>
  <si>
    <t>C004</t>
  </si>
  <si>
    <t>UrbanKart Beauty Back to School</t>
  </si>
  <si>
    <t>Social Media</t>
  </si>
  <si>
    <t>C005</t>
  </si>
  <si>
    <t>UrbanKart Mobiles Mega Saving Days</t>
  </si>
  <si>
    <t>C006</t>
  </si>
  <si>
    <t>UrbanKart Electronics Monsoon Bonanza</t>
  </si>
  <si>
    <t>C007</t>
  </si>
  <si>
    <t>UrbanKart Mobiles Wedding Season Sale</t>
  </si>
  <si>
    <t>C008</t>
  </si>
  <si>
    <t>UrbanKart Toys &amp; Baby Care Payday Sale</t>
  </si>
  <si>
    <t>TV</t>
  </si>
  <si>
    <t>C009</t>
  </si>
  <si>
    <t>UrbanKart Home &amp; Kitchen Freedom Sale</t>
  </si>
  <si>
    <t>C010</t>
  </si>
  <si>
    <t>UrbanKart Grocery Weekend Bonanza</t>
  </si>
  <si>
    <t>C011</t>
  </si>
  <si>
    <t>UrbanKart Home &amp; Kitchen Flash Sale</t>
  </si>
  <si>
    <t>C012</t>
  </si>
  <si>
    <t>UrbanKart Fashion Rakhi Special</t>
  </si>
  <si>
    <t>C013</t>
  </si>
  <si>
    <t>UrbanKart Appliances New Year Blast</t>
  </si>
  <si>
    <t>C014</t>
  </si>
  <si>
    <t>UrbanKart Toys &amp; Baby Care Festive Fiesta</t>
  </si>
  <si>
    <t>C015</t>
  </si>
  <si>
    <t>UrbanKart Home &amp; Kitchen Monsoon Bonanza</t>
  </si>
  <si>
    <t>C016</t>
  </si>
  <si>
    <t>UrbanKart Fashion Monsoon Clearance</t>
  </si>
  <si>
    <t>C017</t>
  </si>
  <si>
    <t>UrbanKart Beauty Cashback Carnival</t>
  </si>
  <si>
    <t>C018</t>
  </si>
  <si>
    <t>UrbanKart Grocery Navratri Offer</t>
  </si>
  <si>
    <t>C019</t>
  </si>
  <si>
    <t>UrbanKart Mobiles Holi Dhamaka</t>
  </si>
  <si>
    <t>C020</t>
  </si>
  <si>
    <t>UrbanKart Beauty Navratri Offer</t>
  </si>
  <si>
    <t>C021</t>
  </si>
  <si>
    <t>UrbanKart Home &amp; Kitchen Summer Sale</t>
  </si>
  <si>
    <t>C022</t>
  </si>
  <si>
    <t>UrbanKart Fashion Summer Sale</t>
  </si>
  <si>
    <t>C023</t>
  </si>
  <si>
    <t>UrbanKart Furniture End of Season Sale</t>
  </si>
  <si>
    <t>C024</t>
  </si>
  <si>
    <t>UrbanKart Furniture Great Indian Sale</t>
  </si>
  <si>
    <t>C025</t>
  </si>
  <si>
    <t>UrbanKart Home &amp; Kitchen New Year Blast</t>
  </si>
  <si>
    <t>C026</t>
  </si>
  <si>
    <t>UrbanKart Fashion Monsoon Clearance 3.0</t>
  </si>
  <si>
    <t>C027</t>
  </si>
  <si>
    <t>UrbanKart Furniture App Install Push</t>
  </si>
  <si>
    <t>C028</t>
  </si>
  <si>
    <t>UrbanKart Appliances Independence Day Special</t>
  </si>
  <si>
    <t>C029</t>
  </si>
  <si>
    <t>UrbanKart Mobiles Independence Day Special 6.0</t>
  </si>
  <si>
    <t>C030</t>
  </si>
  <si>
    <t>UrbanKart Furniture Festive Fiesta</t>
  </si>
  <si>
    <t>C031</t>
  </si>
  <si>
    <t>UrbanKart Toys &amp; Baby Care Mega Saving Days</t>
  </si>
  <si>
    <t>C032</t>
  </si>
  <si>
    <t>UrbanKart Home &amp; Kitchen Great Indian Sale</t>
  </si>
  <si>
    <t>C033</t>
  </si>
  <si>
    <t>UrbanKart Footwear Republic Day Sale</t>
  </si>
  <si>
    <t>C034</t>
  </si>
  <si>
    <t>UrbanKart Furniture Great Indian Sale 6.0</t>
  </si>
  <si>
    <t>C035</t>
  </si>
  <si>
    <t>UrbanKart Grocery Christmas Carnival</t>
  </si>
  <si>
    <t>C036</t>
  </si>
  <si>
    <t>UrbanKart Beauty Christmas Carnival</t>
  </si>
  <si>
    <t>C037</t>
  </si>
  <si>
    <t>UrbanKart Beauty End of Season Sale</t>
  </si>
  <si>
    <t>C038</t>
  </si>
  <si>
    <t>UrbanKart Home &amp; Kitchen Diwali Offer</t>
  </si>
  <si>
    <t>C039</t>
  </si>
  <si>
    <t>UrbanKart Grocery Back to School</t>
  </si>
  <si>
    <t>C040</t>
  </si>
  <si>
    <t>UrbanKart Appliances Flash Sale</t>
  </si>
  <si>
    <t>C041</t>
  </si>
  <si>
    <t>UrbanKart Grocery Clearance Sale</t>
  </si>
  <si>
    <t>C042</t>
  </si>
  <si>
    <t>UrbanKart Grocery Freedom Sale</t>
  </si>
  <si>
    <t>C043</t>
  </si>
  <si>
    <t>UrbanKart Toys &amp; Baby Care Summer Sale</t>
  </si>
  <si>
    <t>C044</t>
  </si>
  <si>
    <t>UrbanKart Fashion Clearance Sale</t>
  </si>
  <si>
    <t>C045</t>
  </si>
  <si>
    <t>UrbanKart Appliances Flash Sale 3.0</t>
  </si>
  <si>
    <t>C046</t>
  </si>
  <si>
    <t>UrbanKart Grocery Monsoon Clearance</t>
  </si>
  <si>
    <t>C047</t>
  </si>
  <si>
    <t>C048</t>
  </si>
  <si>
    <t>UrbanKart Appliances Summer Sale</t>
  </si>
  <si>
    <t>C049</t>
  </si>
  <si>
    <t>UrbanKart Grocery Back to School 4.0</t>
  </si>
  <si>
    <t>C050</t>
  </si>
  <si>
    <t>UrbanKart Appliances Festive Fiesta</t>
  </si>
  <si>
    <t>C051</t>
  </si>
  <si>
    <t>UrbanKart Electronics Holi Dhamaka</t>
  </si>
  <si>
    <t>C052</t>
  </si>
  <si>
    <t>UrbanKart Grocery Diwali Offer</t>
  </si>
  <si>
    <t>C053</t>
  </si>
  <si>
    <t>UrbanKart Mobiles Great Indian Sale</t>
  </si>
  <si>
    <t>C054</t>
  </si>
  <si>
    <t>UrbanKart Grocery Navratri Offer 2.0</t>
  </si>
  <si>
    <t>C055</t>
  </si>
  <si>
    <t>UrbanKart Footwear Clearance Sale</t>
  </si>
  <si>
    <t>C056</t>
  </si>
  <si>
    <t>UrbanKart Furniture End of Season Sale 9.0</t>
  </si>
  <si>
    <t>C057</t>
  </si>
  <si>
    <t>UrbanKart Grocery Loyalty Rewards Week</t>
  </si>
  <si>
    <t>C058</t>
  </si>
  <si>
    <t>UrbanKart Toys &amp; Baby Care Back to School</t>
  </si>
  <si>
    <t>C059</t>
  </si>
  <si>
    <t>UrbanKart Footwear Mega Saving Days</t>
  </si>
  <si>
    <t>C060</t>
  </si>
  <si>
    <t>UrbanKart Furniture Rakhi Special</t>
  </si>
  <si>
    <t>C061</t>
  </si>
  <si>
    <t>UrbanKart Appliances Republic Day Sale</t>
  </si>
  <si>
    <t>C062</t>
  </si>
  <si>
    <t>UrbanKart Furniture Clearance Sale</t>
  </si>
  <si>
    <t>C063</t>
  </si>
  <si>
    <t>UrbanKart Fashion App Install Push</t>
  </si>
  <si>
    <t>C064</t>
  </si>
  <si>
    <t>UrbanKart Grocery Diwali Offer 2.0</t>
  </si>
  <si>
    <t>C065</t>
  </si>
  <si>
    <t>UrbanKart Footwear Back to School</t>
  </si>
  <si>
    <t>C066</t>
  </si>
  <si>
    <t>UrbanKart Beauty Rakhi Special</t>
  </si>
  <si>
    <t>C067</t>
  </si>
  <si>
    <t>UrbanKart Footwear Diwali Offer</t>
  </si>
  <si>
    <t>C068</t>
  </si>
  <si>
    <t>UrbanKart Electronics New Year Blast</t>
  </si>
  <si>
    <t>C069</t>
  </si>
  <si>
    <t>UrbanKart Appliances New Year Blast 3.0</t>
  </si>
  <si>
    <t>C070</t>
  </si>
  <si>
    <t>UrbanKart Grocery Great Indian Sale</t>
  </si>
  <si>
    <t>C071</t>
  </si>
  <si>
    <t>UrbanKart Footwear Diwali Offer 8.0</t>
  </si>
  <si>
    <t>C072</t>
  </si>
  <si>
    <t>UrbanKart Toys &amp; Baby Care Diwali Offer</t>
  </si>
  <si>
    <t>C073</t>
  </si>
  <si>
    <t>UrbanKart Electronics Navratri Offer</t>
  </si>
  <si>
    <t>C074</t>
  </si>
  <si>
    <t>UrbanKart Grocery Weekend Bonanza 4.0</t>
  </si>
  <si>
    <t>C075</t>
  </si>
  <si>
    <t>UrbanKart Fashion Navratri Offer</t>
  </si>
  <si>
    <t>C076</t>
  </si>
  <si>
    <t>UrbanKart Appliances New Year Blast 5.0</t>
  </si>
  <si>
    <t>C077</t>
  </si>
  <si>
    <t>UrbanKart Mobiles Flash Sale</t>
  </si>
  <si>
    <t>C078</t>
  </si>
  <si>
    <t>UrbanKart Beauty Christmas Carnival 5.0</t>
  </si>
  <si>
    <t>C079</t>
  </si>
  <si>
    <t>UrbanKart Fashion Mega Saving Days</t>
  </si>
  <si>
    <t>C080</t>
  </si>
  <si>
    <t>UrbanKart Fashion Monsoon Bonanza</t>
  </si>
  <si>
    <t>C081</t>
  </si>
  <si>
    <t>UrbanKart Beauty Summer Sale</t>
  </si>
  <si>
    <t>C082</t>
  </si>
  <si>
    <t>UrbanKart Footwear Payday Sale</t>
  </si>
  <si>
    <t>C083</t>
  </si>
  <si>
    <t>UrbanKart Grocery Freedom Sale 7.0</t>
  </si>
  <si>
    <t>C084</t>
  </si>
  <si>
    <t>UrbanKart Electronics Festive Fiesta</t>
  </si>
  <si>
    <t>C085</t>
  </si>
  <si>
    <t>UrbanKart Mobiles Freedom Sale</t>
  </si>
  <si>
    <t>C086</t>
  </si>
  <si>
    <t>UrbanKart Beauty Mega Saving Days</t>
  </si>
  <si>
    <t>C087</t>
  </si>
  <si>
    <t>UrbanKart Home &amp; Kitchen Clearance Sale</t>
  </si>
  <si>
    <t>C088</t>
  </si>
  <si>
    <t>UrbanKart Furniture New Year Blast</t>
  </si>
  <si>
    <t>C089</t>
  </si>
  <si>
    <t>UrbanKart Mobiles Monsoon Bonanza</t>
  </si>
  <si>
    <t>C090</t>
  </si>
  <si>
    <t>UrbanKart Appliances Christmas Carnival</t>
  </si>
  <si>
    <t>C091</t>
  </si>
  <si>
    <t>UrbanKart Home &amp; Kitchen Navratri Offer</t>
  </si>
  <si>
    <t>C092</t>
  </si>
  <si>
    <t>UrbanKart Mobiles Monsoon Clearance</t>
  </si>
  <si>
    <t>C094</t>
  </si>
  <si>
    <t>UrbanKart Mobiles Cashback Carnival</t>
  </si>
  <si>
    <t>C095</t>
  </si>
  <si>
    <t>UrbanKart Mobiles Diwali Offer</t>
  </si>
  <si>
    <t>C096</t>
  </si>
  <si>
    <t>UrbanKart Furniture Diwali Offer</t>
  </si>
  <si>
    <t>C097</t>
  </si>
  <si>
    <t>UrbanKart Footwear Freedom Sale</t>
  </si>
  <si>
    <t>C098</t>
  </si>
  <si>
    <t>UrbanKart Fashion Mega Saving Days 6.0</t>
  </si>
  <si>
    <t>C099</t>
  </si>
  <si>
    <t>UrbanKart Fashion Independence Day Special</t>
  </si>
  <si>
    <t>C100</t>
  </si>
  <si>
    <t>UrbanKart Grocery Loyalty Rewards Week 4.0</t>
  </si>
  <si>
    <t>C101</t>
  </si>
  <si>
    <t>UrbanKart Grocery Festive Fiesta</t>
  </si>
  <si>
    <t>C102</t>
  </si>
  <si>
    <t>UrbanKart Appliances End of Season Sale</t>
  </si>
  <si>
    <t>C103</t>
  </si>
  <si>
    <t>UrbanKart Beauty Independence Day Special</t>
  </si>
  <si>
    <t>C104</t>
  </si>
  <si>
    <t>UrbanKart Appliances Weekend Bonanza</t>
  </si>
  <si>
    <t>C105</t>
  </si>
  <si>
    <t>UrbanKart Electronics Wedding Season Sale</t>
  </si>
  <si>
    <t>C106</t>
  </si>
  <si>
    <t>UrbanKart Beauty Republic Day Sale 2.0</t>
  </si>
  <si>
    <t>C107</t>
  </si>
  <si>
    <t>UrbanKart Furniture Navratri Offer</t>
  </si>
  <si>
    <t>C108</t>
  </si>
  <si>
    <t>UrbanKart Toys &amp; Baby Care Republic Day Sale</t>
  </si>
  <si>
    <t>C109</t>
  </si>
  <si>
    <t>UrbanKart Fashion Diwali Offer</t>
  </si>
  <si>
    <t>C111</t>
  </si>
  <si>
    <t>UrbanKart Grocery Navratri Offer 3.0</t>
  </si>
  <si>
    <t>C112</t>
  </si>
  <si>
    <t>UrbanKart Mobiles Monsoon Clearance 9.0</t>
  </si>
  <si>
    <t>C113</t>
  </si>
  <si>
    <t>UrbanKart Electronics Loyalty Rewards Week</t>
  </si>
  <si>
    <t>C114</t>
  </si>
  <si>
    <t>UrbanKart Appliances Weekend Bonanza 4.0</t>
  </si>
  <si>
    <t>C115</t>
  </si>
  <si>
    <t>UrbanKart Electronics Navratri Offer 3.0</t>
  </si>
  <si>
    <t>C116</t>
  </si>
  <si>
    <t>UrbanKart Grocery Great Indian Sale 4.0</t>
  </si>
  <si>
    <t>C117</t>
  </si>
  <si>
    <t>UrbanKart Furniture Independence Day Special</t>
  </si>
  <si>
    <t>C118</t>
  </si>
  <si>
    <t>C119</t>
  </si>
  <si>
    <t>UrbanKart Electronics New Year Blast 3.0</t>
  </si>
  <si>
    <t>C120</t>
  </si>
  <si>
    <t>UrbanKart Footwear Rakhi Special</t>
  </si>
  <si>
    <t>C121</t>
  </si>
  <si>
    <t>UrbanKart Footwear Summer Sale</t>
  </si>
  <si>
    <t>C122</t>
  </si>
  <si>
    <t>UrbanKart Toys &amp; Baby Care End of Season Sale</t>
  </si>
  <si>
    <t>C123</t>
  </si>
  <si>
    <t>UrbanKart Home &amp; Kitchen Flash Sale 8.0</t>
  </si>
  <si>
    <t>C124</t>
  </si>
  <si>
    <t>UrbanKart Electronics Diwali Offer</t>
  </si>
  <si>
    <t>C125</t>
  </si>
  <si>
    <t>UrbanKart Beauty Weekend Bonanza</t>
  </si>
  <si>
    <t>C126</t>
  </si>
  <si>
    <t>UrbanKart Footwear Christmas Carnival</t>
  </si>
  <si>
    <t>C127</t>
  </si>
  <si>
    <t>UrbanKart Footwear Clearance Sale 7.0</t>
  </si>
  <si>
    <t>C128</t>
  </si>
  <si>
    <t>UrbanKart Appliances Holi Dhamaka</t>
  </si>
  <si>
    <t>C129</t>
  </si>
  <si>
    <t>UrbanKart Footwear Rakhi Special 6.0</t>
  </si>
  <si>
    <t>C130</t>
  </si>
  <si>
    <t>UrbanKart Home &amp; Kitchen Navratri Offer 2.0</t>
  </si>
  <si>
    <t>C131</t>
  </si>
  <si>
    <t>C132</t>
  </si>
  <si>
    <t>UrbanKart Electronics Clearance Sale</t>
  </si>
  <si>
    <t>C133</t>
  </si>
  <si>
    <t>UrbanKart Furniture New Year Blast 3.0</t>
  </si>
  <si>
    <t>C134</t>
  </si>
  <si>
    <t>UrbanKart Footwear End of Season Sale</t>
  </si>
  <si>
    <t>C135</t>
  </si>
  <si>
    <t>UrbanKart Fashion New Year Blast</t>
  </si>
  <si>
    <t>C136</t>
  </si>
  <si>
    <t>UrbanKart Home &amp; Kitchen Clearance Sale 7.0</t>
  </si>
  <si>
    <t>C137</t>
  </si>
  <si>
    <t>UrbanKart Home &amp; Kitchen Diwali Offer 5.0</t>
  </si>
  <si>
    <t>C138</t>
  </si>
  <si>
    <t>UrbanKart Grocery Great Indian Sale 7.0</t>
  </si>
  <si>
    <t>C139</t>
  </si>
  <si>
    <t>UrbanKart Furniture Back to School</t>
  </si>
  <si>
    <t>C140</t>
  </si>
  <si>
    <t>UrbanKart Footwear Freedom Sale 8.0</t>
  </si>
  <si>
    <t>C141</t>
  </si>
  <si>
    <t>UrbanKart Furniture App Install Push 8.0</t>
  </si>
  <si>
    <t>C142</t>
  </si>
  <si>
    <t>UrbanKart Footwear Monsoon Clearance</t>
  </si>
  <si>
    <t>C143</t>
  </si>
  <si>
    <t>UrbanKart Toys &amp; Baby Care Clearance Sale</t>
  </si>
  <si>
    <t>C144</t>
  </si>
  <si>
    <t>UrbanKart Appliances Republic Day Sale 2.0</t>
  </si>
  <si>
    <t>C145</t>
  </si>
  <si>
    <t>UrbanKart Fashion Payday Sale</t>
  </si>
  <si>
    <t>C146</t>
  </si>
  <si>
    <t>UrbanKart Fashion Back to School</t>
  </si>
  <si>
    <t>C147</t>
  </si>
  <si>
    <t>UrbanKart Fashion Summer Sale 3.0</t>
  </si>
  <si>
    <t>C148</t>
  </si>
  <si>
    <t>UrbanKart Appliances Navratri Offer</t>
  </si>
  <si>
    <t>C149</t>
  </si>
  <si>
    <t>UrbanKart Grocery Monsoon Clearance 7.0</t>
  </si>
  <si>
    <t>C150</t>
  </si>
  <si>
    <t>UrbanKart Grocery Loyalty Rewards Week 8.0</t>
  </si>
  <si>
    <t>C151</t>
  </si>
  <si>
    <t>UrbanKart Footwear New Year Blast</t>
  </si>
  <si>
    <t>C152</t>
  </si>
  <si>
    <t>UrbanKart Furniture Payday Sale</t>
  </si>
  <si>
    <t>C153</t>
  </si>
  <si>
    <t>UrbanKart Beauty Mega Saving Days 2.0</t>
  </si>
  <si>
    <t>C154</t>
  </si>
  <si>
    <t>UrbanKart Electronics End of Season Sale</t>
  </si>
  <si>
    <t>C155</t>
  </si>
  <si>
    <t>UrbanKart Grocery Back to School 7.0</t>
  </si>
  <si>
    <t>C156</t>
  </si>
  <si>
    <t>UrbanKart Electronics Independence Day Special</t>
  </si>
  <si>
    <t>C157</t>
  </si>
  <si>
    <t>UrbanKart Grocery Monsoon Clearance 6.0</t>
  </si>
  <si>
    <t>C158</t>
  </si>
  <si>
    <t>UrbanKart Electronics Summer Sale</t>
  </si>
  <si>
    <t>C160</t>
  </si>
  <si>
    <t>UrbanKart Home &amp; Kitchen Back to School</t>
  </si>
  <si>
    <t>C161</t>
  </si>
  <si>
    <t>UrbanKart Fashion Flash Sale</t>
  </si>
  <si>
    <t>C162</t>
  </si>
  <si>
    <t>UrbanKart Appliances Monsoon Clearance</t>
  </si>
  <si>
    <t>C163</t>
  </si>
  <si>
    <t>UrbanKart Fashion Rakhi Special 5.0</t>
  </si>
  <si>
    <t>C164</t>
  </si>
  <si>
    <t>UrbanKart Footwear Summer Sale 3.0</t>
  </si>
  <si>
    <t>C165</t>
  </si>
  <si>
    <t>UrbanKart Furniture Independence Day Special 9.0</t>
  </si>
  <si>
    <t>C166</t>
  </si>
  <si>
    <t>UrbanKart Mobiles Rakhi Special</t>
  </si>
  <si>
    <t>C167</t>
  </si>
  <si>
    <t>UrbanKart Electronics Flash Sale</t>
  </si>
  <si>
    <t>C168</t>
  </si>
  <si>
    <t>UrbanKart Grocery Independence Day Special</t>
  </si>
  <si>
    <t>C169</t>
  </si>
  <si>
    <t>UrbanKart Fashion Great Indian Sale</t>
  </si>
  <si>
    <t>C170</t>
  </si>
  <si>
    <t>UrbanKart Toys &amp; Baby Care Freedom Sale</t>
  </si>
  <si>
    <t>C171</t>
  </si>
  <si>
    <t>UrbanKart Electronics Weekend Bonanza 8.0</t>
  </si>
  <si>
    <t>C172</t>
  </si>
  <si>
    <t>UrbanKart Appliances Independence Day Special 6.0</t>
  </si>
  <si>
    <t>C173</t>
  </si>
  <si>
    <t>UrbanKart Furniture Republic Day Sale</t>
  </si>
  <si>
    <t>C174</t>
  </si>
  <si>
    <t>UrbanKart Appliances Christmas Carnival 2.0</t>
  </si>
  <si>
    <t>C175</t>
  </si>
  <si>
    <t>C176</t>
  </si>
  <si>
    <t>UrbanKart Home &amp; Kitchen Diwali Offer 6.0</t>
  </si>
  <si>
    <t>C177</t>
  </si>
  <si>
    <t>UrbanKart Beauty Independence Day Special 9.0</t>
  </si>
  <si>
    <t>C178</t>
  </si>
  <si>
    <t>UrbanKart Mobiles Wedding Season Sale 8.0</t>
  </si>
  <si>
    <t>C179</t>
  </si>
  <si>
    <t>UrbanKart Mobiles End of Season Sale</t>
  </si>
  <si>
    <t>C180</t>
  </si>
  <si>
    <t>UrbanKart Footwear Festive Fiesta</t>
  </si>
  <si>
    <t>C181</t>
  </si>
  <si>
    <t>UrbanKart Fashion Cashback Carnival</t>
  </si>
  <si>
    <t>C182</t>
  </si>
  <si>
    <t>UrbanKart Furniture Flash Sale</t>
  </si>
  <si>
    <t>C183</t>
  </si>
  <si>
    <t>UrbanKart Electronics Freedom Sale</t>
  </si>
  <si>
    <t>C184</t>
  </si>
  <si>
    <t>UrbanKart Appliances Navratri Offer 6.0</t>
  </si>
  <si>
    <t>C185</t>
  </si>
  <si>
    <t>UrbanKart Mobiles App Install Push</t>
  </si>
  <si>
    <t>C186</t>
  </si>
  <si>
    <t>UrbanKart Fashion Christmas Carnival</t>
  </si>
  <si>
    <t>C187</t>
  </si>
  <si>
    <t>UrbanKart Mobiles Independence Day Special 5.0</t>
  </si>
  <si>
    <t>C188</t>
  </si>
  <si>
    <t>UrbanKart Home &amp; Kitchen Great Indian Sale 3.0</t>
  </si>
  <si>
    <t>C189</t>
  </si>
  <si>
    <t>UrbanKart Footwear Rakhi Special 9.0</t>
  </si>
  <si>
    <t>C190</t>
  </si>
  <si>
    <t>UrbanKart Appliances Festive Fiesta 9.0</t>
  </si>
  <si>
    <t>C191</t>
  </si>
  <si>
    <t>UrbanKart Toys &amp; Baby Care End of Season Sale 7.0</t>
  </si>
  <si>
    <t>C192</t>
  </si>
  <si>
    <t>UrbanKart Footwear Christmas Carnival 8.0</t>
  </si>
  <si>
    <t>C193</t>
  </si>
  <si>
    <t>UrbanKart Footwear Clearance Sale 4.0</t>
  </si>
  <si>
    <t>C194</t>
  </si>
  <si>
    <t>UrbanKart Electronics New Year Blast 7.0</t>
  </si>
  <si>
    <t>C195</t>
  </si>
  <si>
    <t>C196</t>
  </si>
  <si>
    <t>UrbanKart Fashion Weekend Bonanza</t>
  </si>
  <si>
    <t>C197</t>
  </si>
  <si>
    <t>UrbanKart Beauty New Year Blast</t>
  </si>
  <si>
    <t>C198</t>
  </si>
  <si>
    <t>UrbanKart Electronics Independence Day Special 4.0</t>
  </si>
  <si>
    <t>C199</t>
  </si>
  <si>
    <t>UrbanKart Fashion Clearance Sale 2.0</t>
  </si>
  <si>
    <t>C200</t>
  </si>
  <si>
    <t>UrbanKart Electronics Back to School</t>
  </si>
  <si>
    <t>C201</t>
  </si>
  <si>
    <t>UrbanKart Beauty End of Season Sale 2.0</t>
  </si>
  <si>
    <t>C202</t>
  </si>
  <si>
    <t>UrbanKart Electronics End of Season Sale 8.0</t>
  </si>
  <si>
    <t>C203</t>
  </si>
  <si>
    <t>UrbanKart Fashion Mega Saving Days 8.0</t>
  </si>
  <si>
    <t>C204</t>
  </si>
  <si>
    <t>UrbanKart Furniture End of Season Sale 8.0</t>
  </si>
  <si>
    <t>C205</t>
  </si>
  <si>
    <t>C206</t>
  </si>
  <si>
    <t>UrbanKart Furniture Holi Dhamaka</t>
  </si>
  <si>
    <t>C207</t>
  </si>
  <si>
    <t>UrbanKart Furniture Holi Dhamaka 4.0</t>
  </si>
  <si>
    <t>C208</t>
  </si>
  <si>
    <t>UrbanKart Home &amp; Kitchen Mega Saving Days</t>
  </si>
  <si>
    <t>C209</t>
  </si>
  <si>
    <t>UrbanKart Furniture Monsoon Clearance</t>
  </si>
  <si>
    <t>C210</t>
  </si>
  <si>
    <t>UrbanKart Appliances Monsoon Clearance 4.0</t>
  </si>
  <si>
    <t>C211</t>
  </si>
  <si>
    <t>UrbanKart Appliances End of Season Sale 8.0</t>
  </si>
  <si>
    <t>C212</t>
  </si>
  <si>
    <t>UrbanKart Toys &amp; Baby Care New Year Blast</t>
  </si>
  <si>
    <t>C213</t>
  </si>
  <si>
    <t>UrbanKart Appliances Weekend Bonanza 6.0</t>
  </si>
  <si>
    <t>C214</t>
  </si>
  <si>
    <t>UrbanKart Fashion End of Season Sale</t>
  </si>
  <si>
    <t>C215</t>
  </si>
  <si>
    <t>UrbanKart Toys &amp; Baby Care End of Season Sale 6.0</t>
  </si>
  <si>
    <t>C216</t>
  </si>
  <si>
    <t>UrbanKart Beauty Great Indian Sale</t>
  </si>
  <si>
    <t>C217</t>
  </si>
  <si>
    <t>UrbanKart Beauty App Install Push</t>
  </si>
  <si>
    <t>C218</t>
  </si>
  <si>
    <t>UrbanKart Appliances End of Season Sale 5.0</t>
  </si>
  <si>
    <t>C219</t>
  </si>
  <si>
    <t>UrbanKart Electronics App Install Push</t>
  </si>
  <si>
    <t>C220</t>
  </si>
  <si>
    <t>UrbanKart Mobiles Navratri Offer</t>
  </si>
  <si>
    <t>Duration</t>
  </si>
  <si>
    <t>Grand Total</t>
  </si>
  <si>
    <t>CTR (%)</t>
  </si>
  <si>
    <t>Conversion Rate (%)</t>
  </si>
  <si>
    <t>ROI (%)</t>
  </si>
  <si>
    <t>Average CTR (%)</t>
  </si>
  <si>
    <t>Return On Investment (%)</t>
  </si>
  <si>
    <t>Average Conversion Rate (%)</t>
  </si>
  <si>
    <t>Overall Average</t>
  </si>
  <si>
    <t>Cost Per Conversion (₹)</t>
  </si>
  <si>
    <t>Budget Spent (INR)</t>
  </si>
  <si>
    <t>Revenue Generated (INR)</t>
  </si>
  <si>
    <t>Total_Impressions</t>
  </si>
  <si>
    <t>Total_Clicks</t>
  </si>
  <si>
    <t>Total_Conversions</t>
  </si>
  <si>
    <t>Average of Cost Per Click</t>
  </si>
  <si>
    <t>Average ROI (%)</t>
  </si>
  <si>
    <t>Average Cost Per Conversion</t>
  </si>
  <si>
    <t>Average Profil/Loss</t>
  </si>
  <si>
    <t>Campaigns By CPA (Cost Per Action/Conversion)</t>
  </si>
  <si>
    <t>Data Grouped By Channel</t>
  </si>
  <si>
    <t>Campaigns By ROI (Return On Investment)</t>
  </si>
  <si>
    <t>Average Duration (Days)</t>
  </si>
  <si>
    <t>Rank</t>
  </si>
  <si>
    <t>Overall ROI (%)</t>
  </si>
  <si>
    <t>Channel Rank Based On Overall ROI</t>
  </si>
  <si>
    <t>Total Impressions</t>
  </si>
  <si>
    <t>Total Clicks</t>
  </si>
  <si>
    <t>Total Conversions</t>
  </si>
  <si>
    <t>Average Cost Per Click</t>
  </si>
  <si>
    <t>Row Labels</t>
  </si>
  <si>
    <t>Total Budget_Spent (INR)</t>
  </si>
  <si>
    <t>Total Revenue_Generated (INR)</t>
  </si>
  <si>
    <t>Budget VS Revenue By Channel</t>
  </si>
  <si>
    <t>ROI_(%)</t>
  </si>
  <si>
    <t>Top 10 Campaign By ROI (%)</t>
  </si>
  <si>
    <t>Total Budget</t>
  </si>
  <si>
    <t>Budget Distribution Across Channel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</si>
  <si>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</si>
  <si>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</si>
  <si>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</si>
  <si>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</si>
  <si>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</si>
  <si>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</si>
  <si>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</si>
  <si>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</si>
  <si>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</si>
  <si>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</si>
  <si>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</si>
  <si>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</si>
  <si>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</si>
  <si>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Conversion Over Time</t>
  </si>
  <si>
    <t>MARKETING CAMPAIGN ANALYSIS</t>
  </si>
  <si>
    <r>
      <rPr>
        <b/>
        <sz val="18"/>
        <color theme="1"/>
        <rFont val="Poppins"/>
      </rPr>
      <t xml:space="preserve">(1) </t>
    </r>
    <r>
      <rPr>
        <sz val="18"/>
        <color theme="1"/>
        <rFont val="Poppins"/>
      </rPr>
      <t xml:space="preserve">Top 5 Campaigns By ROI </t>
    </r>
  </si>
  <si>
    <r>
      <rPr>
        <b/>
        <sz val="18"/>
        <color theme="1"/>
        <rFont val="Poppins"/>
      </rPr>
      <t xml:space="preserve">(2) </t>
    </r>
    <r>
      <rPr>
        <sz val="18"/>
        <color theme="1"/>
        <rFont val="Poppins"/>
      </rPr>
      <t xml:space="preserve">Bottom 5 Campaigns By ROI </t>
    </r>
  </si>
  <si>
    <r>
      <rPr>
        <b/>
        <sz val="18"/>
        <color theme="1"/>
        <rFont val="Poppins"/>
      </rPr>
      <t xml:space="preserve">(3) </t>
    </r>
    <r>
      <rPr>
        <sz val="18"/>
        <color theme="1"/>
        <rFont val="Poppins"/>
      </rPr>
      <t xml:space="preserve">Average CTR and Average Conversion Rate per Channel </t>
    </r>
  </si>
  <si>
    <r>
      <rPr>
        <b/>
        <sz val="18"/>
        <color theme="1"/>
        <rFont val="Poppins"/>
      </rPr>
      <t xml:space="preserve">(4) </t>
    </r>
    <r>
      <rPr>
        <sz val="18"/>
        <color theme="1"/>
        <rFont val="Poppins"/>
      </rPr>
      <t>Campaigns At Loss (Negative ROI (%))</t>
    </r>
  </si>
  <si>
    <r>
      <rPr>
        <b/>
        <sz val="18"/>
        <color theme="1"/>
        <rFont val="Poppins"/>
      </rPr>
      <t xml:space="preserve">(5) </t>
    </r>
    <r>
      <rPr>
        <sz val="18"/>
        <color theme="1"/>
        <rFont val="Poppins"/>
      </rPr>
      <t>Top 5 Campaigns With Highest CPA (Cost Per Action/Conversion)</t>
    </r>
  </si>
  <si>
    <r>
      <rPr>
        <b/>
        <sz val="18"/>
        <color theme="1"/>
        <rFont val="Poppins"/>
      </rPr>
      <t>(6)</t>
    </r>
    <r>
      <rPr>
        <sz val="18"/>
        <color theme="1"/>
        <rFont val="Poppins"/>
      </rPr>
      <t xml:space="preserve"> Data Grouped By Channel, </t>
    </r>
    <r>
      <rPr>
        <b/>
        <sz val="18"/>
        <color theme="1"/>
        <rFont val="Poppins"/>
      </rPr>
      <t xml:space="preserve">(7) </t>
    </r>
    <r>
      <rPr>
        <sz val="18"/>
        <color theme="1"/>
        <rFont val="Poppins"/>
      </rPr>
      <t xml:space="preserve">Total Budget Spent, Total Revenue Generated, Overall ROI Per Channel, </t>
    </r>
    <r>
      <rPr>
        <b/>
        <sz val="18"/>
        <color theme="1"/>
        <rFont val="Poppins"/>
      </rPr>
      <t>(8)</t>
    </r>
    <r>
      <rPr>
        <sz val="18"/>
        <color theme="1"/>
        <rFont val="Poppins"/>
      </rPr>
      <t xml:space="preserve"> Average Conversion Rate Per Channel, </t>
    </r>
    <r>
      <rPr>
        <b/>
        <sz val="18"/>
        <color theme="1"/>
        <rFont val="Poppins"/>
      </rPr>
      <t xml:space="preserve">(9) </t>
    </r>
    <r>
      <rPr>
        <sz val="18"/>
        <color theme="1"/>
        <rFont val="Poppins"/>
      </rPr>
      <t>Channel Comparison Table</t>
    </r>
  </si>
  <si>
    <r>
      <rPr>
        <b/>
        <sz val="18"/>
        <color theme="1"/>
        <rFont val="Poppins"/>
      </rPr>
      <t xml:space="preserve">(10) </t>
    </r>
    <r>
      <rPr>
        <sz val="18"/>
        <color theme="1"/>
        <rFont val="Poppins"/>
      </rPr>
      <t>Channel Rankings Based On ROI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</si>
</sst>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Poppins"/>
    </font>
    <font>
      <sz val="11"/>
      <color theme="1"/>
      <name val="Poppins"/>
    </font>
    <font>
      <b/>
      <sz val="11"/>
      <color theme="1"/>
      <name val="Poppins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Poppins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BEE7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29FF9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9" fontId="0" fillId="0" borderId="0" xfId="1" applyFont="1"/>
    <xf numFmtId="1" fontId="0" fillId="0" borderId="0" xfId="0" applyNumberFormat="1"/>
    <xf numFmtId="1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0" fontId="0" fillId="2" borderId="0" xfId="1" applyNumberFormat="1" applyFont="1" applyFill="1"/>
    <xf numFmtId="165" fontId="0" fillId="2" borderId="0" xfId="0" applyNumberFormat="1" applyFill="1"/>
    <xf numFmtId="166" fontId="0" fillId="3" borderId="0" xfId="0" applyNumberFormat="1" applyFill="1"/>
    <xf numFmtId="9" fontId="0" fillId="3" borderId="0" xfId="1" applyFont="1" applyFill="1"/>
    <xf numFmtId="0" fontId="4" fillId="0" borderId="0" xfId="0" applyFont="1" applyAlignment="1">
      <alignment horizontal="left" vertical="center"/>
    </xf>
    <xf numFmtId="0" fontId="4" fillId="0" borderId="0" xfId="0" applyFont="1"/>
    <xf numFmtId="9" fontId="4" fillId="0" borderId="0" xfId="1" applyFont="1" applyAlignment="1">
      <alignment horizontal="right" vertical="center"/>
    </xf>
    <xf numFmtId="10" fontId="4" fillId="0" borderId="0" xfId="1" applyNumberFormat="1" applyFont="1"/>
    <xf numFmtId="9" fontId="4" fillId="0" borderId="0" xfId="1" applyFont="1"/>
    <xf numFmtId="0" fontId="5" fillId="4" borderId="0" xfId="0" applyFont="1" applyFill="1"/>
    <xf numFmtId="0" fontId="5" fillId="4" borderId="0" xfId="0" applyFont="1" applyFill="1" applyAlignment="1">
      <alignment horizontal="left" vertical="center"/>
    </xf>
    <xf numFmtId="0" fontId="5" fillId="0" borderId="0" xfId="0" applyFont="1"/>
    <xf numFmtId="10" fontId="5" fillId="0" borderId="0" xfId="1" applyNumberFormat="1" applyFont="1"/>
    <xf numFmtId="165" fontId="4" fillId="0" borderId="0" xfId="0" applyNumberFormat="1" applyFont="1"/>
    <xf numFmtId="164" fontId="0" fillId="3" borderId="0" xfId="0" applyNumberFormat="1" applyFill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" fontId="0" fillId="0" borderId="1" xfId="0" applyNumberFormat="1" applyBorder="1"/>
    <xf numFmtId="9" fontId="0" fillId="0" borderId="1" xfId="0" applyNumberFormat="1" applyBorder="1"/>
    <xf numFmtId="0" fontId="2" fillId="0" borderId="0" xfId="0" applyFont="1" applyAlignment="1">
      <alignment vertical="center"/>
    </xf>
    <xf numFmtId="9" fontId="0" fillId="3" borderId="1" xfId="0" applyNumberFormat="1" applyFill="1" applyBorder="1"/>
    <xf numFmtId="0" fontId="6" fillId="0" borderId="0" xfId="0" applyFont="1" applyAlignment="1">
      <alignment vertical="center"/>
    </xf>
    <xf numFmtId="0" fontId="5" fillId="4" borderId="1" xfId="0" applyFont="1" applyFill="1" applyBorder="1"/>
    <xf numFmtId="0" fontId="4" fillId="0" borderId="1" xfId="0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10" fontId="4" fillId="0" borderId="1" xfId="0" applyNumberFormat="1" applyFont="1" applyBorder="1"/>
    <xf numFmtId="10" fontId="4" fillId="7" borderId="1" xfId="0" applyNumberFormat="1" applyFont="1" applyFill="1" applyBorder="1"/>
    <xf numFmtId="9" fontId="4" fillId="7" borderId="1" xfId="1" applyFont="1" applyFill="1" applyBorder="1"/>
    <xf numFmtId="0" fontId="5" fillId="0" borderId="1" xfId="0" applyFont="1" applyBorder="1"/>
    <xf numFmtId="1" fontId="5" fillId="0" borderId="1" xfId="0" applyNumberFormat="1" applyFont="1" applyBorder="1"/>
    <xf numFmtId="164" fontId="5" fillId="7" borderId="1" xfId="0" applyNumberFormat="1" applyFont="1" applyFill="1" applyBorder="1"/>
    <xf numFmtId="10" fontId="5" fillId="0" borderId="1" xfId="0" applyNumberFormat="1" applyFont="1" applyBorder="1"/>
    <xf numFmtId="164" fontId="5" fillId="0" borderId="1" xfId="0" applyNumberFormat="1" applyFont="1" applyBorder="1"/>
    <xf numFmtId="9" fontId="5" fillId="0" borderId="1" xfId="1" applyFont="1" applyFill="1" applyBorder="1"/>
    <xf numFmtId="9" fontId="4" fillId="0" borderId="1" xfId="1" applyFont="1" applyBorder="1"/>
    <xf numFmtId="9" fontId="4" fillId="0" borderId="1" xfId="1" applyFont="1" applyFill="1" applyBorder="1"/>
    <xf numFmtId="9" fontId="5" fillId="0" borderId="1" xfId="1" applyFont="1" applyBorder="1"/>
    <xf numFmtId="164" fontId="4" fillId="0" borderId="0" xfId="0" applyNumberFormat="1" applyFont="1"/>
    <xf numFmtId="164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1" xfId="0" applyNumberFormat="1" applyBorder="1"/>
    <xf numFmtId="0" fontId="1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545">
    <dxf>
      <font>
        <color rgb="FF9C0006"/>
      </font>
      <fill>
        <patternFill>
          <bgColor rgb="FFFFC7CE"/>
        </patternFill>
      </fill>
    </dxf>
    <dxf>
      <numFmt numFmtId="164" formatCode="&quot;₹&quot;\ #,##0"/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4" formatCode="&quot;₹&quot;\ #,##0"/>
    </dxf>
    <dxf>
      <numFmt numFmtId="13" formatCode="0%"/>
    </dxf>
    <dxf>
      <numFmt numFmtId="13" formatCode="0%"/>
    </dxf>
    <dxf>
      <numFmt numFmtId="164" formatCode="&quot;₹&quot;\ #,##0"/>
    </dxf>
    <dxf>
      <numFmt numFmtId="164" formatCode="&quot;₹&quot;\ #,##0"/>
    </dxf>
    <dxf>
      <numFmt numFmtId="14" formatCode="0.00%"/>
    </dxf>
    <dxf>
      <numFmt numFmtId="14" formatCode="0.00%"/>
    </dxf>
    <dxf>
      <numFmt numFmtId="13" formatCode="0%"/>
    </dxf>
    <dxf>
      <numFmt numFmtId="1" formatCode="0"/>
    </dxf>
    <dxf>
      <numFmt numFmtId="1" formatCode="0"/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[$₹-4009]\ * #,##0.00_ ;_ [$₹-4009]\ * \-#,##0.00_ ;_ [$₹-4009]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2" formatCode="0.00"/>
    </dxf>
    <dxf>
      <numFmt numFmtId="13" formatCode="0%"/>
    </dxf>
    <dxf>
      <numFmt numFmtId="166" formatCode="_ [$₹-4009]\ * #,##0_ ;_ [$₹-4009]\ * \-#,##0_ ;_ [$₹-4009]\ * &quot;-&quot;??_ ;_ @_ "/>
    </dxf>
    <dxf>
      <numFmt numFmtId="13" formatCode="0%"/>
    </dxf>
    <dxf>
      <numFmt numFmtId="165" formatCode="_ [$₹-4009]\ * #,##0.00_ ;_ [$₹-4009]\ * \-#,##0.00_ ;_ [$₹-4009]\ * &quot;-&quot;??_ ;_ @_ "/>
    </dxf>
    <dxf>
      <numFmt numFmtId="165" formatCode="_ [$₹-4009]\ * #,##0.00_ ;_ [$₹-4009]\ * \-#,##0.00_ ;_ [$₹-4009]\ * &quot;-&quot;??_ ;_ @_ "/>
    </dxf>
    <dxf>
      <numFmt numFmtId="14" formatCode="0.00%"/>
    </dxf>
    <dxf>
      <numFmt numFmtId="14" formatCode="0.00%"/>
    </dxf>
    <dxf>
      <numFmt numFmtId="164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64" formatCode="&quot;₹&quot;\ #,##0"/>
    </dxf>
    <dxf>
      <numFmt numFmtId="1" formatCode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29FF9"/>
      <color rgb="FFF8593E"/>
      <color rgb="FFCBEE72"/>
      <color rgb="FFFFFF99"/>
      <color rgb="FFFFFF93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[Marketing_Campaign_Cleaned_Data.xlsx]Pivot Tables for Visualization!PivotTable1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</a:rPr>
              <a:t>Budget VS 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8708827574307512E-2"/>
              <c:y val="-4.576834078259255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3.5079051701826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3.1571146531643932E-2"/>
              <c:y val="-1.830733631303702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.12628458612657573"/>
              <c:y val="-2.4964837910384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.21281291365774804"/>
              <c:y val="-2.4964837910384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7.6004612020624279E-2"/>
              <c:y val="-7.489451373115228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.14616271542427745"/>
              <c:y val="2.49648379103831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6.3142293063287863E-2"/>
              <c:y val="-1.830733631303702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33035802821848E-2"/>
          <c:y val="7.5265159911235446E-2"/>
          <c:w val="0.75332079387668915"/>
          <c:h val="0.8826750423022006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'Pivot Tables for Visualization'!$B$3</c:f>
              <c:strCache>
                <c:ptCount val="1"/>
                <c:pt idx="0">
                  <c:v>Total Budget_Spent (INR)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47D-4A74-9C09-0F35F8F748A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47D-4A74-9C09-0F35F8F748A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47D-4A74-9C09-0F35F8F748AD}"/>
              </c:ext>
            </c:extLst>
          </c:dPt>
          <c:dLbls>
            <c:dLbl>
              <c:idx val="0"/>
              <c:layout>
                <c:manualLayout>
                  <c:x val="3.1571146531643932E-2"/>
                  <c:y val="-1.830733631303702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7D-4A74-9C09-0F35F8F748AD}"/>
                </c:ext>
              </c:extLst>
            </c:dLbl>
            <c:dLbl>
              <c:idx val="1"/>
              <c:layout>
                <c:manualLayout>
                  <c:x val="3.50790517018265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7D-4A74-9C09-0F35F8F748AD}"/>
                </c:ext>
              </c:extLst>
            </c:dLbl>
            <c:dLbl>
              <c:idx val="3"/>
              <c:layout>
                <c:manualLayout>
                  <c:x val="1.8708827574307512E-2"/>
                  <c:y val="-4.5768340782592554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7D-4A74-9C09-0F35F8F74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for Visualization'!$A$4:$A$9</c:f>
              <c:strCache>
                <c:ptCount val="5"/>
                <c:pt idx="0">
                  <c:v>Email</c:v>
                </c:pt>
                <c:pt idx="1">
                  <c:v>Google Ads</c:v>
                </c:pt>
                <c:pt idx="2">
                  <c:v>Radio</c:v>
                </c:pt>
                <c:pt idx="3">
                  <c:v>Social Media</c:v>
                </c:pt>
                <c:pt idx="4">
                  <c:v>TV</c:v>
                </c:pt>
              </c:strCache>
            </c:strRef>
          </c:cat>
          <c:val>
            <c:numRef>
              <c:f>'Pivot Tables for Visualization'!$B$4:$B$9</c:f>
              <c:numCache>
                <c:formatCode>"₹"\ #,##0</c:formatCode>
                <c:ptCount val="5"/>
                <c:pt idx="0">
                  <c:v>1464045</c:v>
                </c:pt>
                <c:pt idx="1">
                  <c:v>11197820</c:v>
                </c:pt>
                <c:pt idx="2">
                  <c:v>6897985</c:v>
                </c:pt>
                <c:pt idx="3">
                  <c:v>8477891</c:v>
                </c:pt>
                <c:pt idx="4">
                  <c:v>19134047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D-4A74-9C09-0F35F8F748AD}"/>
            </c:ext>
          </c:extLst>
        </c:ser>
        <c:ser>
          <c:idx val="1"/>
          <c:order val="1"/>
          <c:tx>
            <c:strRef>
              <c:f>'Pivot Tables for Visualization'!$C$3</c:f>
              <c:strCache>
                <c:ptCount val="1"/>
                <c:pt idx="0">
                  <c:v>Total Revenue_Generated (INR)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7D-4A74-9C09-0F35F8F748A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47D-4A74-9C09-0F35F8F748A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7D-4A74-9C09-0F35F8F748A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47D-4A74-9C09-0F35F8F748A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7D-4A74-9C09-0F35F8F748AD}"/>
              </c:ext>
            </c:extLst>
          </c:dPt>
          <c:dLbls>
            <c:dLbl>
              <c:idx val="0"/>
              <c:layout>
                <c:manualLayout>
                  <c:x val="6.3142293063287863E-2"/>
                  <c:y val="-1.830733631303702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7D-4A74-9C09-0F35F8F748AD}"/>
                </c:ext>
              </c:extLst>
            </c:dLbl>
            <c:dLbl>
              <c:idx val="1"/>
              <c:layout>
                <c:manualLayout>
                  <c:x val="0.14616271542427745"/>
                  <c:y val="2.49648379103831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7D-4A74-9C09-0F35F8F748AD}"/>
                </c:ext>
              </c:extLst>
            </c:dLbl>
            <c:dLbl>
              <c:idx val="2"/>
              <c:layout>
                <c:manualLayout>
                  <c:x val="7.6004612020624279E-2"/>
                  <c:y val="-7.489451373115228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7D-4A74-9C09-0F35F8F748AD}"/>
                </c:ext>
              </c:extLst>
            </c:dLbl>
            <c:dLbl>
              <c:idx val="3"/>
              <c:layout>
                <c:manualLayout>
                  <c:x val="0.21281291365774804"/>
                  <c:y val="-2.496483791038409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7D-4A74-9C09-0F35F8F748AD}"/>
                </c:ext>
              </c:extLst>
            </c:dLbl>
            <c:dLbl>
              <c:idx val="4"/>
              <c:layout>
                <c:manualLayout>
                  <c:x val="0.12628458612657573"/>
                  <c:y val="-2.496483791038409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7D-4A74-9C09-0F35F8F74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for Visualization'!$A$4:$A$9</c:f>
              <c:strCache>
                <c:ptCount val="5"/>
                <c:pt idx="0">
                  <c:v>Email</c:v>
                </c:pt>
                <c:pt idx="1">
                  <c:v>Google Ads</c:v>
                </c:pt>
                <c:pt idx="2">
                  <c:v>Radio</c:v>
                </c:pt>
                <c:pt idx="3">
                  <c:v>Social Media</c:v>
                </c:pt>
                <c:pt idx="4">
                  <c:v>TV</c:v>
                </c:pt>
              </c:strCache>
            </c:strRef>
          </c:cat>
          <c:val>
            <c:numRef>
              <c:f>'Pivot Tables for Visualization'!$C$4:$C$9</c:f>
              <c:numCache>
                <c:formatCode>"₹"\ #,##0</c:formatCode>
                <c:ptCount val="5"/>
                <c:pt idx="0">
                  <c:v>111324460</c:v>
                </c:pt>
                <c:pt idx="1">
                  <c:v>376734075</c:v>
                </c:pt>
                <c:pt idx="2">
                  <c:v>6962828</c:v>
                </c:pt>
                <c:pt idx="3">
                  <c:v>163859311</c:v>
                </c:pt>
                <c:pt idx="4">
                  <c:v>25344413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7D-4A74-9C09-0F35F8F748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815553807"/>
        <c:axId val="321556847"/>
      </c:barChart>
      <c:catAx>
        <c:axId val="8155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56847"/>
        <c:crosses val="autoZero"/>
        <c:auto val="1"/>
        <c:lblAlgn val="ctr"/>
        <c:lblOffset val="100"/>
        <c:noMultiLvlLbl val="0"/>
      </c:catAx>
      <c:valAx>
        <c:axId val="321556847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125484581192"/>
          <c:y val="0.45005464982076387"/>
          <c:w val="0.15467164120151553"/>
          <c:h val="0.20280816002078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[Marketing_Campaign_Cleaned_Data.xlsx]Pivot Tables for Visualization!PivotTable2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Poppins" panose="00000500000000000000" pitchFamily="2" charset="0"/>
              </a:defRPr>
            </a:pPr>
            <a:r>
              <a:rPr lang="en-US" sz="1800" b="1">
                <a:solidFill>
                  <a:schemeClr val="tx1"/>
                </a:solidFill>
                <a:latin typeface="+mn-lt"/>
                <a:cs typeface="Poppins" panose="00000500000000000000" pitchFamily="2" charset="0"/>
              </a:rPr>
              <a:t>Top</a:t>
            </a:r>
            <a:r>
              <a:rPr lang="en-US" sz="1800" b="1" baseline="0">
                <a:solidFill>
                  <a:schemeClr val="tx1"/>
                </a:solidFill>
                <a:latin typeface="+mn-lt"/>
                <a:cs typeface="Poppins" panose="00000500000000000000" pitchFamily="2" charset="0"/>
              </a:rPr>
              <a:t> 10 Campaigns By ROI (%)</a:t>
            </a:r>
            <a:endParaRPr lang="en-US" sz="1800" b="1">
              <a:solidFill>
                <a:schemeClr val="tx1"/>
              </a:solidFill>
              <a:latin typeface="+mn-lt"/>
              <a:cs typeface="Poppins" panose="00000500000000000000" pitchFamily="2" charset="0"/>
            </a:endParaRPr>
          </a:p>
        </c:rich>
      </c:tx>
      <c:layout>
        <c:manualLayout>
          <c:xMode val="edge"/>
          <c:yMode val="edge"/>
          <c:x val="0.35997912424712808"/>
          <c:y val="1.5919282136476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for Visualization'!$H$3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 for Visualization'!$F$4:$G$13</c:f>
              <c:multiLvlStrCache>
                <c:ptCount val="10"/>
                <c:lvl>
                  <c:pt idx="0">
                    <c:v>UrbanKart Appliances End of Season Sale 8.0</c:v>
                  </c:pt>
                  <c:pt idx="1">
                    <c:v>UrbanKart Fashion Mega Saving Days 6.0</c:v>
                  </c:pt>
                  <c:pt idx="2">
                    <c:v>UrbanKart Electronics New Year Blast 7.0</c:v>
                  </c:pt>
                  <c:pt idx="3">
                    <c:v>UrbanKart Toys &amp; Baby Care Republic Day Sale</c:v>
                  </c:pt>
                  <c:pt idx="4">
                    <c:v>UrbanKart Fashion Independence Day Special</c:v>
                  </c:pt>
                  <c:pt idx="5">
                    <c:v>UrbanKart Toys &amp; Baby Care Freedom Sale</c:v>
                  </c:pt>
                  <c:pt idx="6">
                    <c:v>UrbanKart Furniture Navratri Offer</c:v>
                  </c:pt>
                  <c:pt idx="7">
                    <c:v>UrbanKart Electronics New Year Blast</c:v>
                  </c:pt>
                  <c:pt idx="8">
                    <c:v>UrbanKart Grocery Great Indian Sale 7.0</c:v>
                  </c:pt>
                  <c:pt idx="9">
                    <c:v>UrbanKart Footwear Freedom Sale 8.0</c:v>
                  </c:pt>
                </c:lvl>
                <c:lvl>
                  <c:pt idx="0">
                    <c:v>C211</c:v>
                  </c:pt>
                  <c:pt idx="1">
                    <c:v>C098</c:v>
                  </c:pt>
                  <c:pt idx="2">
                    <c:v>C194</c:v>
                  </c:pt>
                  <c:pt idx="3">
                    <c:v>C108</c:v>
                  </c:pt>
                  <c:pt idx="4">
                    <c:v>C099</c:v>
                  </c:pt>
                  <c:pt idx="5">
                    <c:v>C170</c:v>
                  </c:pt>
                  <c:pt idx="6">
                    <c:v>C107</c:v>
                  </c:pt>
                  <c:pt idx="7">
                    <c:v>C068</c:v>
                  </c:pt>
                  <c:pt idx="8">
                    <c:v>C138</c:v>
                  </c:pt>
                  <c:pt idx="9">
                    <c:v>C140</c:v>
                  </c:pt>
                </c:lvl>
              </c:multiLvlStrCache>
            </c:multiLvlStrRef>
          </c:cat>
          <c:val>
            <c:numRef>
              <c:f>'Pivot Tables for Visualization'!$H$4:$H$13</c:f>
              <c:numCache>
                <c:formatCode>0%</c:formatCode>
                <c:ptCount val="10"/>
                <c:pt idx="0">
                  <c:v>436.47838353663599</c:v>
                </c:pt>
                <c:pt idx="1">
                  <c:v>243.22274521431399</c:v>
                </c:pt>
                <c:pt idx="2">
                  <c:v>145.83442593216401</c:v>
                </c:pt>
                <c:pt idx="3">
                  <c:v>143.94369149084801</c:v>
                </c:pt>
                <c:pt idx="4">
                  <c:v>130.97419430172801</c:v>
                </c:pt>
                <c:pt idx="5">
                  <c:v>123.932385688034</c:v>
                </c:pt>
                <c:pt idx="6">
                  <c:v>119.02048389490901</c:v>
                </c:pt>
                <c:pt idx="7">
                  <c:v>113.82971593937999</c:v>
                </c:pt>
                <c:pt idx="8">
                  <c:v>112.275853328827</c:v>
                </c:pt>
                <c:pt idx="9">
                  <c:v>111.94672378088001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E-4703-A743-7D6EB3EAC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1643599"/>
        <c:axId val="682914063"/>
      </c:barChart>
      <c:catAx>
        <c:axId val="100164359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Campaign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14063"/>
        <c:crosses val="autoZero"/>
        <c:auto val="1"/>
        <c:lblAlgn val="ctr"/>
        <c:lblOffset val="100"/>
        <c:noMultiLvlLbl val="0"/>
      </c:catAx>
      <c:valAx>
        <c:axId val="682914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ROI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4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[Marketing_Campaign_Cleaned_Data.xlsx]Pivot Tables for Visualization!PivotTable3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BUDGET DISTRIBUTION</a:t>
            </a:r>
            <a:r>
              <a:rPr lang="en-US" sz="2000" b="1" baseline="0">
                <a:solidFill>
                  <a:schemeClr val="tx1"/>
                </a:solidFill>
              </a:rPr>
              <a:t> ACROSS CHANNELS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for Visualization'!$B$14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79-442E-9C07-843403F2C41E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79-442E-9C07-843403F2C41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79-442E-9C07-843403F2C41E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79-442E-9C07-843403F2C41E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9-442E-9C07-843403F2C41E}"/>
              </c:ext>
            </c:extLst>
          </c:dPt>
          <c:cat>
            <c:strRef>
              <c:f>'Pivot Tables for Visualization'!$A$15:$A$20</c:f>
              <c:strCache>
                <c:ptCount val="5"/>
                <c:pt idx="0">
                  <c:v>Email</c:v>
                </c:pt>
                <c:pt idx="1">
                  <c:v>Google Ads</c:v>
                </c:pt>
                <c:pt idx="2">
                  <c:v>Radio</c:v>
                </c:pt>
                <c:pt idx="3">
                  <c:v>Social Media</c:v>
                </c:pt>
                <c:pt idx="4">
                  <c:v>TV</c:v>
                </c:pt>
              </c:strCache>
            </c:strRef>
          </c:cat>
          <c:val>
            <c:numRef>
              <c:f>'Pivot Tables for Visualization'!$B$15:$B$20</c:f>
              <c:numCache>
                <c:formatCode>"₹"\ #,##0</c:formatCode>
                <c:ptCount val="5"/>
                <c:pt idx="0">
                  <c:v>1464045</c:v>
                </c:pt>
                <c:pt idx="1">
                  <c:v>11197820</c:v>
                </c:pt>
                <c:pt idx="2">
                  <c:v>6897985</c:v>
                </c:pt>
                <c:pt idx="3">
                  <c:v>8477891</c:v>
                </c:pt>
                <c:pt idx="4">
                  <c:v>19134047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79-442E-9C07-843403F2C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39259950728948"/>
          <c:y val="0.28840244304856633"/>
          <c:w val="0.22780106694987526"/>
          <c:h val="0.30255817413644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[Marketing_Campaign_Cleaned_Data.xlsx]Pivot Tables for Visualization!PivotTable4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Total</a:t>
            </a:r>
            <a:r>
              <a:rPr lang="en-US" sz="2000" b="1" baseline="0">
                <a:solidFill>
                  <a:schemeClr val="tx1"/>
                </a:solidFill>
              </a:rPr>
              <a:t> Conversions Over Time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for Visualization'!$L$3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Tables for Visualization'!$K$4:$K$16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for Visualization'!$L$4:$L$16</c:f>
              <c:numCache>
                <c:formatCode>0</c:formatCode>
                <c:ptCount val="12"/>
                <c:pt idx="0">
                  <c:v>23701</c:v>
                </c:pt>
                <c:pt idx="1">
                  <c:v>18588.399232560452</c:v>
                </c:pt>
                <c:pt idx="2">
                  <c:v>34273.162913617118</c:v>
                </c:pt>
                <c:pt idx="3">
                  <c:v>14781.162913617116</c:v>
                </c:pt>
                <c:pt idx="4">
                  <c:v>37087</c:v>
                </c:pt>
                <c:pt idx="5">
                  <c:v>29241</c:v>
                </c:pt>
                <c:pt idx="6">
                  <c:v>21733</c:v>
                </c:pt>
                <c:pt idx="7">
                  <c:v>27983</c:v>
                </c:pt>
                <c:pt idx="8">
                  <c:v>23851.328637858041</c:v>
                </c:pt>
                <c:pt idx="9">
                  <c:v>16049</c:v>
                </c:pt>
                <c:pt idx="10">
                  <c:v>5013</c:v>
                </c:pt>
                <c:pt idx="11">
                  <c:v>4381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C-4034-8EC6-427FAC96C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01695"/>
        <c:axId val="937675471"/>
      </c:lineChart>
      <c:catAx>
        <c:axId val="62160169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75471"/>
        <c:crosses val="autoZero"/>
        <c:auto val="1"/>
        <c:lblAlgn val="ctr"/>
        <c:lblOffset val="100"/>
        <c:noMultiLvlLbl val="0"/>
      </c:catAx>
      <c:valAx>
        <c:axId val="9376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Total Conversions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0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BUDGET-REVENUE RELATIONSHIP</a:t>
            </a:r>
          </a:p>
        </c:rich>
      </c:tx>
      <c:layout>
        <c:manualLayout>
          <c:xMode val="edge"/>
          <c:yMode val="edge"/>
          <c:x val="0.27597295761346735"/>
          <c:y val="3.13578956170762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Budget vs Revenue</c:v>
          </c:tx>
          <c:spPr>
            <a:ln w="25400">
              <a:noFill/>
            </a:ln>
          </c:spPr>
          <c:marker>
            <c:symbol val="circle"/>
            <c:size val="10"/>
          </c:marker>
          <c:dPt>
            <c:idx val="0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D0-4692-892D-E49B79E4B710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D0-4692-892D-E49B79E4B710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D0-4692-892D-E49B79E4B710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D0-4692-892D-E49B79E4B710}"/>
              </c:ext>
            </c:extLst>
          </c:dPt>
          <c:dPt>
            <c:idx val="4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D0-4692-892D-E49B79E4B71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4A3099A-9E98-4BE0-81D0-DC97F452596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4D0-4692-892D-E49B79E4B7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C6FD2B-0586-49AB-B311-98C3947995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4D0-4692-892D-E49B79E4B71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676B2D-5269-42DE-BAD9-084249F4BD5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4D0-4692-892D-E49B79E4B710}"/>
                </c:ext>
              </c:extLst>
            </c:dLbl>
            <c:dLbl>
              <c:idx val="3"/>
              <c:layout>
                <c:manualLayout>
                  <c:x val="-1.0068405858788779E-2"/>
                  <c:y val="-2.5641025641025644E-2"/>
                </c:manualLayout>
              </c:layout>
              <c:tx>
                <c:rich>
                  <a:bodyPr/>
                  <a:lstStyle/>
                  <a:p>
                    <a:fld id="{FDBFA1AB-1697-42F6-B49A-94440C7CEA7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4D0-4692-892D-E49B79E4B71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12308C-BD07-4FC0-ABA2-BFF1285F009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D0-4692-892D-E49B79E4B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'Pivot Tables for Visualization'!$B$25:$B$29</c:f>
              <c:numCache>
                <c:formatCode>"₹"\ #,##0</c:formatCode>
                <c:ptCount val="5"/>
                <c:pt idx="0">
                  <c:v>1464045</c:v>
                </c:pt>
                <c:pt idx="1">
                  <c:v>11197820</c:v>
                </c:pt>
                <c:pt idx="2">
                  <c:v>6897985</c:v>
                </c:pt>
                <c:pt idx="3">
                  <c:v>8477891</c:v>
                </c:pt>
                <c:pt idx="4">
                  <c:v>19134047</c:v>
                </c:pt>
              </c:numCache>
            </c:numRef>
          </c:xVal>
          <c:yVal>
            <c:numRef>
              <c:f>'Pivot Tables for Visualization'!$C$25:$C$29</c:f>
              <c:numCache>
                <c:formatCode>"₹"\ #,##0</c:formatCode>
                <c:ptCount val="5"/>
                <c:pt idx="0">
                  <c:v>111324460</c:v>
                </c:pt>
                <c:pt idx="1">
                  <c:v>376734075</c:v>
                </c:pt>
                <c:pt idx="2">
                  <c:v>6962828</c:v>
                </c:pt>
                <c:pt idx="3">
                  <c:v>163859311</c:v>
                </c:pt>
                <c:pt idx="4">
                  <c:v>25344413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'Pivot Tables for Visualization'!$A$25:$A$29</c15:f>
                <c15:dlblRangeCache>
                  <c:ptCount val="5"/>
                  <c:pt idx="0">
                    <c:v>Email</c:v>
                  </c:pt>
                  <c:pt idx="1">
                    <c:v>Google Ads</c:v>
                  </c:pt>
                  <c:pt idx="2">
                    <c:v>Radio</c:v>
                  </c:pt>
                  <c:pt idx="3">
                    <c:v>Social Media</c:v>
                  </c:pt>
                  <c:pt idx="4">
                    <c:v>TV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E4D0-4692-892D-E49B79E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469856"/>
        <c:axId val="185085263"/>
      </c:scatterChart>
      <c:valAx>
        <c:axId val="19624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/>
                    </a:solidFill>
                  </a:rPr>
                  <a:t>Budget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5263"/>
        <c:crosses val="autoZero"/>
        <c:crossBetween val="midCat"/>
        <c:dispUnits>
          <c:builtInUnit val="millions"/>
        </c:dispUnits>
      </c:valAx>
      <c:valAx>
        <c:axId val="18508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/>
                    </a:solidFill>
                  </a:rPr>
                  <a:t>Revenue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69856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171719</xdr:rowOff>
    </xdr:from>
    <xdr:to>
      <xdr:col>13</xdr:col>
      <xdr:colOff>225381</xdr:colOff>
      <xdr:row>27</xdr:row>
      <xdr:rowOff>174433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5EE99-947C-48D6-A23A-ED7D6D67D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460380</xdr:colOff>
      <xdr:row>29</xdr:row>
      <xdr:rowOff>5524</xdr:rowOff>
    </xdr:from>
    <xdr:to>
      <xdr:col>38</xdr:col>
      <xdr:colOff>460381</xdr:colOff>
      <xdr:row>53</xdr:row>
      <xdr:rowOff>20019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0B2899-CE8F-40FF-8F03-A687519F0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450374</xdr:colOff>
      <xdr:row>4</xdr:row>
      <xdr:rowOff>2779</xdr:rowOff>
    </xdr:from>
    <xdr:to>
      <xdr:col>28</xdr:col>
      <xdr:colOff>88932</xdr:colOff>
      <xdr:row>28</xdr:row>
      <xdr:rowOff>7166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8402F9-A898-4BB3-8E6D-87630D220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7573</xdr:rowOff>
    </xdr:from>
    <xdr:to>
      <xdr:col>24</xdr:col>
      <xdr:colOff>195631</xdr:colOff>
      <xdr:row>52</xdr:row>
      <xdr:rowOff>177076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0E6E4E-9155-431E-947E-B9DBFF6CA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333421</xdr:colOff>
      <xdr:row>4</xdr:row>
      <xdr:rowOff>6579</xdr:rowOff>
    </xdr:from>
    <xdr:to>
      <xdr:col>41</xdr:col>
      <xdr:colOff>611198</xdr:colOff>
      <xdr:row>28</xdr:row>
      <xdr:rowOff>18586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305827-FA45-4D1A-B168-3CA8B7512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kumar Bevnale" refreshedDate="46213.468207175923" createdVersion="8" refreshedVersion="8" minRefreshableVersion="3" recordCount="220" xr:uid="{B1299864-DDC6-480C-9755-9C4892F33346}">
  <cacheSource type="worksheet">
    <worksheetSource name="Marketing_Analysis_Cleaned"/>
  </cacheSource>
  <cacheFields count="22">
    <cacheField name="Campaign_ID" numFmtId="0">
      <sharedItems count="22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</sharedItems>
    </cacheField>
    <cacheField name="Campaign_Name" numFmtId="0">
      <sharedItems count="214">
        <s v="UrbanKart Mobiles Independence Day Special"/>
        <s v="UrbanKart Beauty Republic Day Sale"/>
        <s v="UrbanKart Beauty Diwali Offer"/>
        <s v="UrbanKart Beauty Back to School"/>
        <s v="UrbanKart Mobiles Mega Saving Days"/>
        <s v="UrbanKart Electronics Monsoon Bonanza"/>
        <s v="UrbanKart Mobiles Wedding Season Sale"/>
        <s v="UrbanKart Toys &amp; Baby Care Payday Sale"/>
        <s v="UrbanKart Home &amp; Kitchen Freedom Sale"/>
        <s v="UrbanKart Grocery Weekend Bonanza"/>
        <s v="UrbanKart Home &amp; Kitchen Flash Sale"/>
        <s v="UrbanKart Fashion Rakhi Special"/>
        <s v="UrbanKart Appliances New Year Blast"/>
        <s v="UrbanKart Toys &amp; Baby Care Festive Fiesta"/>
        <s v="UrbanKart Home &amp; Kitchen Monsoon Bonanza"/>
        <s v="UrbanKart Fashion Monsoon Clearance"/>
        <s v="UrbanKart Beauty Cashback Carnival"/>
        <s v="UrbanKart Grocery Navratri Offer"/>
        <s v="UrbanKart Mobiles Holi Dhamaka"/>
        <s v="UrbanKart Beauty Navratri Offer"/>
        <s v="UrbanKart Home &amp; Kitchen Summer Sale"/>
        <s v="UrbanKart Fashion Summer Sale"/>
        <s v="UrbanKart Furniture End of Season Sale"/>
        <s v="UrbanKart Furniture Great Indian Sale"/>
        <s v="UrbanKart Home &amp; Kitchen New Year Blast"/>
        <s v="UrbanKart Fashion Monsoon Clearance 3.0"/>
        <s v="UrbanKart Furniture App Install Push"/>
        <s v="UrbanKart Appliances Independence Day Special"/>
        <s v="UrbanKart Mobiles Independence Day Special 6.0"/>
        <s v="UrbanKart Furniture Festive Fiesta"/>
        <s v="UrbanKart Toys &amp; Baby Care Mega Saving Days"/>
        <s v="UrbanKart Home &amp; Kitchen Great Indian Sale"/>
        <s v="UrbanKart Footwear Republic Day Sale"/>
        <s v="UrbanKart Furniture Great Indian Sale 6.0"/>
        <s v="UrbanKart Grocery Christmas Carnival"/>
        <s v="UrbanKart Beauty Christmas Carnival"/>
        <s v="UrbanKart Beauty End of Season Sale"/>
        <s v="UrbanKart Home &amp; Kitchen Diwali Offer"/>
        <s v="UrbanKart Grocery Back to School"/>
        <s v="UrbanKart Appliances Flash Sale"/>
        <s v="UrbanKart Grocery Clearance Sale"/>
        <s v="UrbanKart Grocery Freedom Sale"/>
        <s v="UrbanKart Toys &amp; Baby Care Summer Sale"/>
        <s v="UrbanKart Fashion Clearance Sale"/>
        <s v="UrbanKart Appliances Flash Sale 3.0"/>
        <s v="UrbanKart Grocery Monsoon Clearance"/>
        <s v="UrbanKart Appliances Summer Sale"/>
        <s v="UrbanKart Grocery Back to School 4.0"/>
        <s v="UrbanKart Appliances Festive Fiesta"/>
        <s v="UrbanKart Electronics Holi Dhamaka"/>
        <s v="UrbanKart Grocery Diwali Offer"/>
        <s v="UrbanKart Mobiles Great Indian Sale"/>
        <s v="UrbanKart Grocery Navratri Offer 2.0"/>
        <s v="UrbanKart Footwear Clearance Sale"/>
        <s v="UrbanKart Furniture End of Season Sale 9.0"/>
        <s v="UrbanKart Grocery Loyalty Rewards Week"/>
        <s v="UrbanKart Toys &amp; Baby Care Back to School"/>
        <s v="UrbanKart Footwear Mega Saving Days"/>
        <s v="UrbanKart Furniture Rakhi Special"/>
        <s v="UrbanKart Appliances Republic Day Sale"/>
        <s v="UrbanKart Furniture Clearance Sale"/>
        <s v="UrbanKart Fashion App Install Push"/>
        <s v="UrbanKart Grocery Diwali Offer 2.0"/>
        <s v="UrbanKart Footwear Back to School"/>
        <s v="UrbanKart Beauty Rakhi Special"/>
        <s v="UrbanKart Footwear Diwali Offer"/>
        <s v="UrbanKart Electronics New Year Blast"/>
        <s v="UrbanKart Appliances New Year Blast 3.0"/>
        <s v="UrbanKart Grocery Great Indian Sale"/>
        <s v="UrbanKart Footwear Diwali Offer 8.0"/>
        <s v="UrbanKart Toys &amp; Baby Care Diwali Offer"/>
        <s v="UrbanKart Electronics Navratri Offer"/>
        <s v="UrbanKart Grocery Weekend Bonanza 4.0"/>
        <s v="UrbanKart Fashion Navratri Offer"/>
        <s v="UrbanKart Appliances New Year Blast 5.0"/>
        <s v="UrbanKart Mobiles Flash Sale"/>
        <s v="UrbanKart Beauty Christmas Carnival 5.0"/>
        <s v="UrbanKart Fashion Mega Saving Days"/>
        <s v="UrbanKart Fashion Monsoon Bonanza"/>
        <s v="UrbanKart Beauty Summer Sale"/>
        <s v="UrbanKart Footwear Payday Sale"/>
        <s v="UrbanKart Grocery Freedom Sale 7.0"/>
        <s v="UrbanKart Electronics Festive Fiesta"/>
        <s v="UrbanKart Mobiles Freedom Sale"/>
        <s v="UrbanKart Beauty Mega Saving Days"/>
        <s v="UrbanKart Home &amp; Kitchen Clearance Sale"/>
        <s v="UrbanKart Furniture New Year Blast"/>
        <s v="UrbanKart Mobiles Monsoon Bonanza"/>
        <s v="UrbanKart Appliances Christmas Carnival"/>
        <s v="UrbanKart Home &amp; Kitchen Navratri Offer"/>
        <s v="UrbanKart Mobiles Monsoon Clearance"/>
        <s v="UrbanKart Electronics Holi Dhamaka 4.0"/>
        <s v="UrbanKart Mobiles Cashback Carnival"/>
        <s v="UrbanKart Mobiles Diwali Offer"/>
        <s v="UrbanKart Furniture Diwali Offer"/>
        <s v="UrbanKart Footwear Freedom Sale"/>
        <s v="UrbanKart Fashion Mega Saving Days 6.0"/>
        <s v="UrbanKart Fashion Independence Day Special"/>
        <s v="UrbanKart Grocery Loyalty Rewards Week 4.0"/>
        <s v="UrbanKart Grocery Festive Fiesta"/>
        <s v="UrbanKart Appliances End of Season Sale"/>
        <s v="UrbanKart Beauty Independence Day Special"/>
        <s v="UrbanKart Appliances Weekend Bonanza"/>
        <s v="UrbanKart Electronics Wedding Season Sale"/>
        <s v="UrbanKart Beauty Republic Day Sale 2.0"/>
        <s v="UrbanKart Furniture Navratri Offer"/>
        <s v="UrbanKart Toys &amp; Baby Care Republic Day Sale"/>
        <s v="UrbanKart Fashion Diwali Offer"/>
        <s v="UrbanKart Electronics Monsoon Clearance"/>
        <s v="UrbanKart Grocery Navratri Offer 3.0"/>
        <s v="UrbanKart Mobiles Monsoon Clearance 9.0"/>
        <s v="UrbanKart Electronics Loyalty Rewards Week"/>
        <s v="UrbanKart Appliances Weekend Bonanza 4.0"/>
        <s v="UrbanKart Electronics Navratri Offer 3.0"/>
        <s v="UrbanKart Grocery Great Indian Sale 4.0"/>
        <s v="UrbanKart Furniture Independence Day Special"/>
        <s v="UrbanKart Electronics New Year Blast 3.0"/>
        <s v="UrbanKart Footwear Rakhi Special"/>
        <s v="UrbanKart Footwear Summer Sale"/>
        <s v="UrbanKart Toys &amp; Baby Care End of Season Sale"/>
        <s v="UrbanKart Home &amp; Kitchen Flash Sale 8.0"/>
        <s v="UrbanKart Electronics Diwali Offer"/>
        <s v="UrbanKart Beauty Weekend Bonanza"/>
        <s v="UrbanKart Footwear Christmas Carnival"/>
        <s v="UrbanKart Footwear Clearance Sale 7.0"/>
        <s v="UrbanKart Appliances Holi Dhamaka"/>
        <s v="UrbanKart Footwear Rakhi Special 6.0"/>
        <s v="UrbanKart Home &amp; Kitchen Navratri Offer 2.0"/>
        <s v="UrbanKart Electronics Clearance Sale"/>
        <s v="UrbanKart Furniture New Year Blast 3.0"/>
        <s v="UrbanKart Footwear End of Season Sale"/>
        <s v="UrbanKart Fashion New Year Blast"/>
        <s v="UrbanKart Home &amp; Kitchen Clearance Sale 7.0"/>
        <s v="UrbanKart Home &amp; Kitchen Diwali Offer 5.0"/>
        <s v="UrbanKart Grocery Great Indian Sale 7.0"/>
        <s v="UrbanKart Furniture Back to School"/>
        <s v="UrbanKart Footwear Freedom Sale 8.0"/>
        <s v="UrbanKart Furniture App Install Push 8.0"/>
        <s v="UrbanKart Footwear Monsoon Clearance"/>
        <s v="UrbanKart Toys &amp; Baby Care Clearance Sale"/>
        <s v="UrbanKart Appliances Republic Day Sale 2.0"/>
        <s v="UrbanKart Fashion Payday Sale"/>
        <s v="UrbanKart Fashion Back to School"/>
        <s v="UrbanKart Fashion Summer Sale 3.0"/>
        <s v="UrbanKart Appliances Navratri Offer"/>
        <s v="UrbanKart Grocery Monsoon Clearance 7.0"/>
        <s v="UrbanKart Grocery Loyalty Rewards Week 8.0"/>
        <s v="UrbanKart Footwear New Year Blast"/>
        <s v="UrbanKart Furniture Payday Sale"/>
        <s v="UrbanKart Beauty Mega Saving Days 2.0"/>
        <s v="UrbanKart Electronics End of Season Sale"/>
        <s v="UrbanKart Grocery Back to School 7.0"/>
        <s v="UrbanKart Electronics Independence Day Special"/>
        <s v="UrbanKart Grocery Monsoon Clearance 6.0"/>
        <s v="UrbanKart Electronics Summer Sale"/>
        <s v="UrbanKart Electronics Weekend Bonanza"/>
        <s v="UrbanKart Home &amp; Kitchen Back to School"/>
        <s v="UrbanKart Fashion Flash Sale"/>
        <s v="UrbanKart Appliances Monsoon Clearance"/>
        <s v="UrbanKart Fashion Rakhi Special 5.0"/>
        <s v="UrbanKart Footwear Summer Sale 3.0"/>
        <s v="UrbanKart Furniture Independence Day Special 9.0"/>
        <s v="UrbanKart Mobiles Rakhi Special"/>
        <s v="UrbanKart Electronics Flash Sale"/>
        <s v="UrbanKart Grocery Independence Day Special"/>
        <s v="UrbanKart Fashion Great Indian Sale"/>
        <s v="UrbanKart Toys &amp; Baby Care Freedom Sale"/>
        <s v="UrbanKart Electronics Weekend Bonanza 8.0"/>
        <s v="UrbanKart Appliances Independence Day Special 6.0"/>
        <s v="UrbanKart Furniture Republic Day Sale"/>
        <s v="UrbanKart Appliances Christmas Carnival 2.0"/>
        <s v="UrbanKart Home &amp; Kitchen Diwali Offer 6.0"/>
        <s v="UrbanKart Beauty Independence Day Special 9.0"/>
        <s v="UrbanKart Mobiles Wedding Season Sale 8.0"/>
        <s v="UrbanKart Mobiles End of Season Sale"/>
        <s v="UrbanKart Footwear Festive Fiesta"/>
        <s v="UrbanKart Fashion Cashback Carnival"/>
        <s v="UrbanKart Furniture Flash Sale"/>
        <s v="UrbanKart Electronics Freedom Sale"/>
        <s v="UrbanKart Appliances Navratri Offer 6.0"/>
        <s v="UrbanKart Mobiles App Install Push"/>
        <s v="UrbanKart Fashion Christmas Carnival"/>
        <s v="UrbanKart Mobiles Independence Day Special 5.0"/>
        <s v="UrbanKart Home &amp; Kitchen Great Indian Sale 3.0"/>
        <s v="UrbanKart Footwear Rakhi Special 9.0"/>
        <s v="UrbanKart Appliances Festive Fiesta 9.0"/>
        <s v="UrbanKart Toys &amp; Baby Care End of Season Sale 7.0"/>
        <s v="UrbanKart Footwear Christmas Carnival 8.0"/>
        <s v="UrbanKart Footwear Clearance Sale 4.0"/>
        <s v="UrbanKart Electronics New Year Blast 7.0"/>
        <s v="UrbanKart Fashion Weekend Bonanza"/>
        <s v="UrbanKart Beauty New Year Blast"/>
        <s v="UrbanKart Electronics Independence Day Special 4.0"/>
        <s v="UrbanKart Fashion Clearance Sale 2.0"/>
        <s v="UrbanKart Electronics Back to School"/>
        <s v="UrbanKart Beauty End of Season Sale 2.0"/>
        <s v="UrbanKart Electronics End of Season Sale 8.0"/>
        <s v="UrbanKart Fashion Mega Saving Days 8.0"/>
        <s v="UrbanKart Furniture End of Season Sale 8.0"/>
        <s v="UrbanKart Furniture Holi Dhamaka"/>
        <s v="UrbanKart Furniture Holi Dhamaka 4.0"/>
        <s v="UrbanKart Home &amp; Kitchen Mega Saving Days"/>
        <s v="UrbanKart Furniture Monsoon Clearance"/>
        <s v="UrbanKart Appliances Monsoon Clearance 4.0"/>
        <s v="UrbanKart Appliances End of Season Sale 8.0"/>
        <s v="UrbanKart Toys &amp; Baby Care New Year Blast"/>
        <s v="UrbanKart Appliances Weekend Bonanza 6.0"/>
        <s v="UrbanKart Fashion End of Season Sale"/>
        <s v="UrbanKart Toys &amp; Baby Care End of Season Sale 6.0"/>
        <s v="UrbanKart Beauty Great Indian Sale"/>
        <s v="UrbanKart Beauty App Install Push"/>
        <s v="UrbanKart Appliances End of Season Sale 5.0"/>
        <s v="UrbanKart Electronics App Install Push"/>
        <s v="UrbanKart Mobiles Navratri Offer"/>
      </sharedItems>
    </cacheField>
    <cacheField name="Channel" numFmtId="0">
      <sharedItems count="5">
        <s v="Email"/>
        <s v="Google Ads"/>
        <s v="Social Media"/>
        <s v="TV"/>
        <s v="Radio"/>
      </sharedItems>
    </cacheField>
    <cacheField name="Start_Date" numFmtId="14">
      <sharedItems containsSemiMixedTypes="0" containsNonDate="0" containsDate="1" containsString="0" minDate="2025-01-01T00:00:00" maxDate="2025-12-09T00:00:00" count="153">
        <d v="2025-02-07T00:00:00"/>
        <d v="2025-10-17T00:00:00"/>
        <d v="2025-05-29T00:00:00"/>
        <d v="2025-10-16T00:00:00"/>
        <d v="2025-05-05T00:00:00"/>
        <d v="2025-06-25T00:00:00"/>
        <d v="2025-10-24T00:00:00"/>
        <d v="2025-07-17T00:00:00"/>
        <d v="2025-09-12T00:00:00"/>
        <d v="2025-07-14T00:00:00"/>
        <d v="2025-08-03T00:00:00"/>
        <d v="2025-07-20T00:00:00"/>
        <d v="2025-02-22T00:00:00"/>
        <d v="2025-06-27T00:00:00"/>
        <d v="2025-09-03T00:00:00"/>
        <d v="2025-05-14T00:00:00"/>
        <d v="2025-05-03T00:00:00"/>
        <d v="2025-08-17T00:00:00"/>
        <d v="2025-06-20T00:00:00"/>
        <d v="2025-03-16T00:00:00"/>
        <d v="2025-09-27T00:00:00"/>
        <d v="2025-05-13T00:00:00"/>
        <d v="2025-03-08T00:00:00"/>
        <d v="2025-10-12T00:00:00"/>
        <d v="2025-01-15T00:00:00"/>
        <d v="2025-05-07T00:00:00"/>
        <d v="2025-08-15T00:00:00"/>
        <d v="2025-04-23T00:00:00"/>
        <d v="2025-07-02T00:00:00"/>
        <d v="2025-02-27T00:00:00"/>
        <d v="2025-07-27T00:00:00"/>
        <d v="2025-11-21T00:00:00"/>
        <d v="2025-02-24T00:00:00"/>
        <d v="2025-09-17T00:00:00"/>
        <d v="2025-06-15T00:00:00"/>
        <d v="2025-05-08T00:00:00"/>
        <d v="2025-03-21T00:00:00"/>
        <d v="2025-01-23T00:00:00"/>
        <d v="2025-02-13T00:00:00"/>
        <d v="2025-09-08T00:00:00"/>
        <d v="2025-04-16T00:00:00"/>
        <d v="2025-02-09T00:00:00"/>
        <d v="2025-05-24T00:00:00"/>
        <d v="2025-08-02T00:00:00"/>
        <d v="2025-05-10T00:00:00"/>
        <d v="2025-12-05T00:00:00"/>
        <d v="2025-10-11T00:00:00"/>
        <d v="2025-03-07T00:00:00"/>
        <d v="2025-10-13T00:00:00"/>
        <d v="2025-08-07T00:00:00"/>
        <d v="2025-07-31T00:00:00"/>
        <d v="2025-09-28T00:00:00"/>
        <d v="2025-02-25T00:00:00"/>
        <d v="2025-01-01T00:00:00"/>
        <d v="2025-02-20T00:00:00"/>
        <d v="2025-05-23T00:00:00"/>
        <d v="2025-02-11T00:00:00"/>
        <d v="2025-01-04T00:00:00"/>
        <d v="2025-08-01T00:00:00"/>
        <d v="2025-12-01T00:00:00"/>
        <d v="2025-04-11T00:00:00"/>
        <d v="2025-02-01T00:00:00"/>
        <d v="2025-05-22T00:00:00"/>
        <d v="2025-06-13T00:00:00"/>
        <d v="2025-03-24T00:00:00"/>
        <d v="2025-05-01T00:00:00"/>
        <d v="2025-08-13T00:00:00"/>
        <d v="2025-04-08T00:00:00"/>
        <d v="2025-04-22T00:00:00"/>
        <d v="2025-07-10T00:00:00"/>
        <d v="2025-02-16T00:00:00"/>
        <d v="2025-07-06T00:00:00"/>
        <d v="2025-08-24T00:00:00"/>
        <d v="2025-06-28T00:00:00"/>
        <d v="2025-09-05T00:00:00"/>
        <d v="2025-11-14T00:00:00"/>
        <d v="2025-03-18T00:00:00"/>
        <d v="2025-10-09T00:00:00"/>
        <d v="2025-01-02T00:00:00"/>
        <d v="2025-01-28T00:00:00"/>
        <d v="2025-05-28T00:00:00"/>
        <d v="2025-03-15T00:00:00"/>
        <d v="2025-08-20T00:00:00"/>
        <d v="2025-07-12T00:00:00"/>
        <d v="2025-01-12T00:00:00"/>
        <d v="2025-03-23T00:00:00"/>
        <d v="2025-01-29T00:00:00"/>
        <d v="2025-08-12T00:00:00"/>
        <d v="2025-01-27T00:00:00"/>
        <d v="2025-04-14T00:00:00"/>
        <d v="2025-02-04T00:00:00"/>
        <d v="2025-05-31T00:00:00"/>
        <d v="2025-09-21T00:00:00"/>
        <d v="2025-02-18T00:00:00"/>
        <d v="2025-03-17T00:00:00"/>
        <d v="2025-10-21T00:00:00"/>
        <d v="2025-08-21T00:00:00"/>
        <d v="2025-11-15T00:00:00"/>
        <d v="2025-11-24T00:00:00"/>
        <d v="2025-11-11T00:00:00"/>
        <d v="2025-04-25T00:00:00"/>
        <d v="2025-08-29T00:00:00"/>
        <d v="2025-07-03T00:00:00"/>
        <d v="2025-06-02T00:00:00"/>
        <d v="2025-09-10T00:00:00"/>
        <d v="2025-01-11T00:00:00"/>
        <d v="2025-06-23T00:00:00"/>
        <d v="2025-03-02T00:00:00"/>
        <d v="2025-07-24T00:00:00"/>
        <d v="2025-04-19T00:00:00"/>
        <d v="2025-07-08T00:00:00"/>
        <d v="2025-09-01T00:00:00"/>
        <d v="2025-11-04T00:00:00"/>
        <d v="2025-03-01T00:00:00"/>
        <d v="2025-06-26T00:00:00"/>
        <d v="2025-10-31T00:00:00"/>
        <d v="2025-07-09T00:00:00"/>
        <d v="2025-03-30T00:00:00"/>
        <d v="2025-03-20T00:00:00"/>
        <d v="2025-08-10T00:00:00"/>
        <d v="2025-03-12T00:00:00"/>
        <d v="2025-03-31T00:00:00"/>
        <d v="2025-09-23T00:00:00"/>
        <d v="2025-01-19T00:00:00"/>
        <d v="2025-06-14T00:00:00"/>
        <d v="2025-03-10T00:00:00"/>
        <d v="2025-10-27T00:00:00"/>
        <d v="2025-01-10T00:00:00"/>
        <d v="2025-01-24T00:00:00"/>
        <d v="2025-09-24T00:00:00"/>
        <d v="2025-10-19T00:00:00"/>
        <d v="2025-04-24T00:00:00"/>
        <d v="2025-05-26T00:00:00"/>
        <d v="2025-07-01T00:00:00"/>
        <d v="2025-05-30T00:00:00"/>
        <d v="2025-06-05T00:00:00"/>
        <d v="2025-01-06T00:00:00"/>
        <d v="2025-01-21T00:00:00"/>
        <d v="2025-09-07T00:00:00"/>
        <d v="2025-06-09T00:00:00"/>
        <d v="2025-04-17T00:00:00"/>
        <d v="2025-06-07T00:00:00"/>
        <d v="2025-10-18T00:00:00"/>
        <d v="2025-06-11T00:00:00"/>
        <d v="2025-06-21T00:00:00"/>
        <d v="2025-03-09T00:00:00"/>
        <d v="2025-09-20T00:00:00"/>
        <d v="2025-04-01T00:00:00"/>
        <d v="2025-01-16T00:00:00"/>
        <d v="2025-04-04T00:00:00"/>
        <d v="2025-08-06T00:00:00"/>
        <d v="2025-03-28T00:00:00"/>
        <d v="2025-12-08T00:00:00"/>
      </sharedItems>
      <fieldGroup par="19"/>
    </cacheField>
    <cacheField name="End_Date" numFmtId="14">
      <sharedItems containsSemiMixedTypes="0" containsNonDate="0" containsDate="1" containsString="0" minDate="2025-01-06T00:00:00" maxDate="2025-12-19T00:00:00" count="166">
        <d v="2025-02-12T00:00:00"/>
        <d v="2025-10-22T00:00:00"/>
        <d v="2025-06-08T00:00:00"/>
        <d v="2025-10-23T00:00:00"/>
        <d v="2025-05-15T00:00:00"/>
        <d v="2025-07-05T00:00:00"/>
        <d v="2025-12-08T00:00:00"/>
        <d v="2025-08-01T00:00:00"/>
        <d v="2025-10-12T00:00:00"/>
        <d v="2025-08-04T00:00:00"/>
        <d v="2025-08-13T00:00:00"/>
        <d v="2025-09-18T00:00:00"/>
        <d v="2025-02-27T00:00:00"/>
        <d v="2025-07-12T00:00:00"/>
        <d v="2025-05-21T00:00:00"/>
        <d v="2025-05-17T00:00:00"/>
        <d v="2025-09-07T00:00:00"/>
        <d v="2025-09-08T00:00:00"/>
        <d v="2025-07-20T00:00:00"/>
        <d v="2025-04-30T00:00:00"/>
        <d v="2025-10-04T00:00:00"/>
        <d v="2025-06-03T00:00:00"/>
        <d v="2025-05-07T00:00:00"/>
        <d v="2025-10-19T00:00:00"/>
        <d v="2025-03-16T00:00:00"/>
        <d v="2025-07-06T00:00:00"/>
        <d v="2025-09-14T00:00:00"/>
        <d v="2025-06-07T00:00:00"/>
        <d v="2025-07-16T00:00:00"/>
        <d v="2025-03-06T00:00:00"/>
        <d v="2025-08-11T00:00:00"/>
        <d v="2025-11-26T00:00:00"/>
        <d v="2025-10-02T00:00:00"/>
        <d v="2025-09-01T00:00:00"/>
        <d v="2025-04-10T00:00:00"/>
        <d v="2025-08-06T00:00:00"/>
        <d v="2025-10-17T00:00:00"/>
        <d v="2025-08-14T00:00:00"/>
        <d v="2025-05-22T00:00:00"/>
        <d v="2025-05-20T00:00:00"/>
        <d v="2025-02-02T00:00:00"/>
        <d v="2025-09-22T00:00:00"/>
        <d v="2025-02-23T00:00:00"/>
        <d v="2025-07-13T00:00:00"/>
        <d v="2025-09-24T00:00:00"/>
        <d v="2025-07-23T00:00:00"/>
        <d v="2025-08-12T00:00:00"/>
        <d v="2025-05-25T00:00:00"/>
        <d v="2025-12-10T00:00:00"/>
        <d v="2025-11-10T00:00:00"/>
        <d v="2025-05-06T00:00:00"/>
        <d v="2025-11-27T00:00:00"/>
        <d v="2025-09-21T00:00:00"/>
        <d v="2025-08-05T00:00:00"/>
        <d v="2025-03-12T00:00:00"/>
        <d v="2025-03-11T00:00:00"/>
        <d v="2025-01-06T00:00:00"/>
        <d v="2025-07-07T00:00:00"/>
        <d v="2025-03-13T00:00:00"/>
        <d v="2025-01-18T00:00:00"/>
        <d v="2025-12-11T00:00:00"/>
        <d v="2025-02-26T00:00:00"/>
        <d v="2025-05-26T00:00:00"/>
        <d v="2025-02-08T00:00:00"/>
        <d v="2025-06-12T00:00:00"/>
        <d v="2025-08-31T00:00:00"/>
        <d v="2025-07-04T00:00:00"/>
        <d v="2025-04-14T00:00:00"/>
        <d v="2025-06-15T00:00:00"/>
        <d v="2025-08-27T00:00:00"/>
        <d v="2025-04-13T00:00:00"/>
        <d v="2025-05-13T00:00:00"/>
        <d v="2025-08-09T00:00:00"/>
        <d v="2025-04-17T00:00:00"/>
        <d v="2025-07-11T00:00:00"/>
        <d v="2025-07-08T00:00:00"/>
        <d v="2025-09-10T00:00:00"/>
        <d v="2025-11-28T00:00:00"/>
        <d v="2025-03-25T00:00:00"/>
        <d v="2025-11-23T00:00:00"/>
        <d v="2025-01-07T00:00:00"/>
        <d v="2025-03-14T00:00:00"/>
        <d v="2025-02-04T00:00:00"/>
        <d v="2025-04-29T00:00:00"/>
        <d v="2025-04-23T00:00:00"/>
        <d v="2025-07-27T00:00:00"/>
        <d v="2025-01-22T00:00:00"/>
        <d v="2025-01-17T00:00:00"/>
        <d v="2025-02-03T00:00:00"/>
        <d v="2025-01-28T00:00:00"/>
        <d v="2025-11-16T00:00:00"/>
        <d v="2025-09-11T00:00:00"/>
        <d v="2025-02-11T00:00:00"/>
        <d v="2025-04-28T00:00:00"/>
        <d v="2025-03-05T00:00:00"/>
        <d v="2025-03-26T00:00:00"/>
        <d v="2025-02-09T00:00:00"/>
        <d v="2025-06-14T00:00:00"/>
        <d v="2025-08-22T00:00:00"/>
        <d v="2025-11-25T00:00:00"/>
        <d v="2025-03-31T00:00:00"/>
        <d v="2025-03-27T00:00:00"/>
        <d v="2025-11-20T00:00:00"/>
        <d v="2025-08-28T00:00:00"/>
        <d v="2025-04-07T00:00:00"/>
        <d v="2025-11-29T00:00:00"/>
        <d v="2025-11-18T00:00:00"/>
        <d v="2025-05-02T00:00:00"/>
        <d v="2025-07-18T00:00:00"/>
        <d v="2025-02-18T00:00:00"/>
        <d v="2025-10-31T00:00:00"/>
        <d v="2025-10-25T00:00:00"/>
        <d v="2025-11-30T00:00:00"/>
        <d v="2025-01-16T00:00:00"/>
        <d v="2025-07-03T00:00:00"/>
        <d v="2025-03-28T00:00:00"/>
        <d v="2025-04-16T00:00:00"/>
        <d v="2025-07-29T00:00:00"/>
        <d v="2025-04-26T00:00:00"/>
        <d v="2025-09-17T00:00:00"/>
        <d v="2025-11-19T00:00:00"/>
        <d v="2025-07-26T00:00:00"/>
        <d v="2025-06-02T00:00:00"/>
        <d v="2025-05-31T00:00:00"/>
        <d v="2025-07-01T00:00:00"/>
        <d v="2025-12-15T00:00:00"/>
        <d v="2025-06-28T00:00:00"/>
        <d v="2025-03-15T00:00:00"/>
        <d v="2025-07-30T00:00:00"/>
        <d v="2025-05-03T00:00:00"/>
        <d v="2025-08-18T00:00:00"/>
        <d v="2025-08-20T00:00:00"/>
        <d v="2025-03-22T00:00:00"/>
        <d v="2025-04-15T00:00:00"/>
        <d v="2025-09-28T00:00:00"/>
        <d v="2025-05-09T00:00:00"/>
        <d v="2025-05-28T00:00:00"/>
        <d v="2025-01-20T00:00:00"/>
        <d v="2025-09-02T00:00:00"/>
        <d v="2025-03-10T00:00:00"/>
        <d v="2025-10-01T00:00:00"/>
        <d v="2025-05-16T00:00:00"/>
        <d v="2025-12-03T00:00:00"/>
        <d v="2025-06-10T00:00:00"/>
        <d v="2025-08-15T00:00:00"/>
        <d v="2025-10-08T00:00:00"/>
        <d v="2025-05-01T00:00:00"/>
        <d v="2025-06-20T00:00:00"/>
        <d v="2025-02-05T00:00:00"/>
        <d v="2025-10-07T00:00:00"/>
        <d v="2025-06-16T00:00:00"/>
        <d v="2025-12-17T00:00:00"/>
        <d v="2025-04-25T00:00:00"/>
        <d v="2025-04-05T00:00:00"/>
        <d v="2025-02-10T00:00:00"/>
        <d v="2025-06-21T00:00:00"/>
        <d v="2025-04-06T00:00:00"/>
        <d v="2025-09-27T00:00:00"/>
        <d v="2025-04-08T00:00:00"/>
        <d v="2025-01-26T00:00:00"/>
        <d v="2025-04-11T00:00:00"/>
        <d v="2025-06-18T00:00:00"/>
        <d v="2025-04-02T00:00:00"/>
        <d v="2025-04-24T00:00:00"/>
        <d v="2025-12-18T00:00:00"/>
        <d v="2025-05-29T00:00:00"/>
      </sharedItems>
      <fieldGroup par="21"/>
    </cacheField>
    <cacheField name="Duration" numFmtId="1">
      <sharedItems containsSemiMixedTypes="0" containsString="0" containsNumber="1" containsInteger="1" minValue="5" maxValue="60"/>
    </cacheField>
    <cacheField name="Budget_Spent (INR)" numFmtId="164">
      <sharedItems containsSemiMixedTypes="0" containsString="0" containsNumber="1" containsInteger="1" minValue="6737" maxValue="883183"/>
    </cacheField>
    <cacheField name="Impressions" numFmtId="1">
      <sharedItems containsSemiMixedTypes="0" containsString="0" containsNumber="1" minValue="57857" maxValue="63257500"/>
    </cacheField>
    <cacheField name="Clicks" numFmtId="1">
      <sharedItems containsSemiMixedTypes="0" containsString="0" containsNumber="1" minValue="2916" maxValue="66507"/>
    </cacheField>
    <cacheField name="Conversions" numFmtId="1">
      <sharedItems containsSemiMixedTypes="0" containsString="0" containsNumber="1" minValue="40" maxValue="5701"/>
    </cacheField>
    <cacheField name="Revenue_Generated (INR)" numFmtId="164">
      <sharedItems containsString="0" containsBlank="1" containsNumber="1" containsInteger="1" minValue="25363" maxValue="24624688" count="217">
        <n v="1215132"/>
        <n v="1102850"/>
        <m/>
        <n v="740320"/>
        <n v="2427927"/>
        <n v="2212341"/>
        <n v="17632611"/>
        <n v="493355"/>
        <n v="783295"/>
        <n v="801606"/>
        <n v="15677287"/>
        <n v="647308"/>
        <n v="8206655"/>
        <n v="4332315"/>
        <n v="24624688"/>
        <n v="711078"/>
        <n v="1688194"/>
        <n v="104387"/>
        <n v="2368262"/>
        <n v="126691"/>
        <n v="1897290"/>
        <n v="1153840"/>
        <n v="288180"/>
        <n v="2720906"/>
        <n v="3101499"/>
        <n v="2225280"/>
        <n v="186047"/>
        <n v="1928259"/>
        <n v="1313171"/>
        <n v="90396"/>
        <n v="98964"/>
        <n v="1399654"/>
        <n v="141611"/>
        <n v="4963160"/>
        <n v="1482775"/>
        <n v="569575"/>
        <n v="82433"/>
        <n v="1734795"/>
        <n v="4069612"/>
        <n v="9835714"/>
        <n v="786202"/>
        <n v="16310979"/>
        <n v="175335"/>
        <n v="4212258"/>
        <n v="18589816"/>
        <n v="779817"/>
        <n v="3576894"/>
        <n v="2763345"/>
        <n v="6987431"/>
        <n v="3680083"/>
        <n v="1716818"/>
        <n v="551287"/>
        <n v="2011114"/>
        <n v="90550"/>
        <n v="3178432"/>
        <n v="1136230"/>
        <n v="316175"/>
        <n v="1522527"/>
        <n v="7953235"/>
        <n v="425915"/>
        <n v="710919"/>
        <n v="1620784"/>
        <n v="2176664"/>
        <n v="2605224"/>
        <n v="1672320"/>
        <n v="4523487"/>
        <n v="1806992"/>
        <n v="2621923"/>
        <n v="2606950"/>
        <n v="10903456"/>
        <n v="2548880"/>
        <n v="1970687"/>
        <n v="1535694"/>
        <n v="4254917"/>
        <n v="3041979"/>
        <n v="6679847"/>
        <n v="2525697"/>
        <n v="750787"/>
        <n v="90234"/>
        <n v="10562722"/>
        <n v="337917"/>
        <n v="3044876"/>
        <n v="6313720"/>
        <n v="7577191"/>
        <n v="539475"/>
        <n v="1588470"/>
        <n v="1732625"/>
        <n v="4925317"/>
        <n v="1451741"/>
        <n v="3836423"/>
        <n v="176210"/>
        <n v="1186380"/>
        <n v="3378418"/>
        <n v="19352370"/>
        <n v="563709"/>
        <n v="13178992"/>
        <n v="1130227"/>
        <n v="2315648"/>
        <n v="1110806"/>
        <n v="172656"/>
        <n v="1166054"/>
        <n v="4181183"/>
        <n v="1141955"/>
        <n v="1814099"/>
        <n v="808578"/>
        <n v="8298896"/>
        <n v="10234087"/>
        <n v="443458"/>
        <n v="1069428"/>
        <n v="138007"/>
        <n v="25363"/>
        <n v="402631"/>
        <n v="5064192"/>
        <n v="1248847"/>
        <n v="995353"/>
        <n v="814808"/>
        <n v="973802"/>
        <n v="807254"/>
        <n v="15712384"/>
        <n v="6166933"/>
        <n v="3594142"/>
        <n v="2271521"/>
        <n v="2823546"/>
        <n v="60834"/>
        <n v="6382777"/>
        <n v="536840"/>
        <n v="675607"/>
        <n v="753791"/>
        <n v="138931"/>
        <n v="374765"/>
        <n v="1515658"/>
        <n v="451428"/>
        <n v="1098488"/>
        <n v="711512"/>
        <n v="3448744"/>
        <n v="6703665"/>
        <n v="227515"/>
        <n v="22306865"/>
        <n v="1244235"/>
        <n v="1945121"/>
        <n v="19203724"/>
        <n v="5465158"/>
        <n v="5315100"/>
        <n v="804645"/>
        <n v="8594994"/>
        <n v="2049869"/>
        <n v="229784"/>
        <n v="4173911"/>
        <n v="1528388"/>
        <n v="4341443"/>
        <n v="1677006"/>
        <n v="1407862"/>
        <n v="1461424"/>
        <n v="4228666"/>
        <n v="3595257"/>
        <n v="1622218"/>
        <n v="108064"/>
        <n v="1407108"/>
        <n v="6242849"/>
        <n v="187670"/>
        <n v="2781697"/>
        <n v="330239"/>
        <n v="1011691"/>
        <n v="102814"/>
        <n v="236344"/>
        <n v="7294223"/>
        <n v="2311499"/>
        <n v="579635"/>
        <n v="1847560"/>
        <n v="954046"/>
        <n v="1001005"/>
        <n v="71259"/>
        <n v="817420"/>
        <n v="2209613"/>
        <n v="4433582"/>
        <n v="444734"/>
        <n v="579591"/>
        <n v="125262"/>
        <n v="4559694"/>
        <n v="10459561"/>
        <n v="460245"/>
        <n v="574286"/>
        <n v="5301502"/>
        <n v="3292879"/>
        <n v="2599572"/>
        <n v="1156584"/>
        <n v="5327028"/>
        <n v="2323709"/>
        <n v="268668"/>
        <n v="1256692"/>
        <n v="5666781"/>
        <n v="7329038"/>
        <n v="1392293"/>
        <n v="806712"/>
        <n v="4847075"/>
        <n v="3247052"/>
        <n v="471489"/>
        <n v="374079"/>
        <n v="906098"/>
        <n v="4477175"/>
        <n v="143073"/>
        <n v="2864307"/>
        <n v="3104899"/>
        <n v="142837"/>
        <n v="1142753"/>
        <n v="1332387"/>
        <n v="126095"/>
        <n v="10544104"/>
        <n v="1547115"/>
        <n v="60762"/>
        <n v="8366055"/>
        <n v="15767857"/>
        <n v="4318060"/>
        <n v="1183445"/>
        <n v="4283098"/>
        <n v="628866"/>
        <n v="953271"/>
      </sharedItems>
    </cacheField>
    <cacheField name="CTR (%)" numFmtId="10">
      <sharedItems containsSemiMixedTypes="0" containsString="0" containsNumber="1" minValue="8.0000000000000004E-4" maxValue="5.9900102459016398E-2"/>
    </cacheField>
    <cacheField name="Conversion Rate (%)" numFmtId="10">
      <sharedItems containsSemiMixedTypes="0" containsString="0" containsNumber="1" minValue="3.6600005717873562E-3" maxValue="0.119043542772356"/>
    </cacheField>
    <cacheField name="Cost Per Click" numFmtId="165">
      <sharedItems containsSemiMixedTypes="0" containsString="0" containsNumber="1" minValue="1.01" maxValue="39.953499999999998"/>
    </cacheField>
    <cacheField name="Cost Per Conversion" numFmtId="165">
      <sharedItems containsSemiMixedTypes="0" containsString="0" containsNumber="1" minValue="15.0482" maxValue="7103.923530246977"/>
    </cacheField>
    <cacheField name="ROI (%)" numFmtId="9">
      <sharedItems containsString="0" containsBlank="1" containsNumber="1" minValue="-0.88362474652791101" maxValue="436.47838353663599"/>
    </cacheField>
    <cacheField name="Profil/Loss" numFmtId="166">
      <sharedItems containsString="0" containsBlank="1" containsNumber="1" containsInteger="1" minValue="-603083" maxValue="24312899"/>
    </cacheField>
    <cacheField name="Overall_ROI (%)" numFmtId="0" formula=" ('Revenue_Generated (INR)'-'Budget_Spent (INR)')/'Budget_Spent (INR)'" databaseField="0"/>
    <cacheField name="Days (Start_Date)" numFmtId="0" databaseField="0">
      <fieldGroup base="3">
        <rangePr groupBy="days" startDate="2025-01-01T00:00:00" endDate="2025-12-0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12-2025"/>
        </groupItems>
      </fieldGroup>
    </cacheField>
    <cacheField name="Months (Start_Date)" numFmtId="0" databaseField="0">
      <fieldGroup base="3">
        <rangePr groupBy="months" startDate="2025-01-01T00:00:00" endDate="2025-12-0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2-2025"/>
        </groupItems>
      </fieldGroup>
    </cacheField>
    <cacheField name="Days (End_Date)" numFmtId="0" databaseField="0">
      <fieldGroup base="4">
        <rangePr groupBy="days" startDate="2025-01-06T00:00:00" endDate="2025-12-19T00:00:00"/>
        <groupItems count="368">
          <s v="&lt;06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2-2025"/>
        </groupItems>
      </fieldGroup>
    </cacheField>
    <cacheField name="Months (End_Date)" numFmtId="0" databaseField="0">
      <fieldGroup base="4">
        <rangePr groupBy="months" startDate="2025-01-06T00:00:00" endDate="2025-12-19T00:00:00"/>
        <groupItems count="14">
          <s v="&lt;06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2-2025"/>
        </groupItems>
      </fieldGroup>
    </cacheField>
  </cacheFields>
  <extLst>
    <ext xmlns:x14="http://schemas.microsoft.com/office/spreadsheetml/2009/9/main" uri="{725AE2AE-9491-48be-B2B4-4EB974FC3084}">
      <x14:pivotCacheDefinition pivotCacheId="9521400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x v="0"/>
    <x v="0"/>
    <x v="0"/>
    <n v="5"/>
    <n v="58823"/>
    <n v="596216"/>
    <n v="22537"/>
    <n v="768"/>
    <x v="0"/>
    <n v="3.7800059039005997E-2"/>
    <n v="3.4077295114700298E-2"/>
    <n v="2.6101000000000001"/>
    <n v="76.592399999999998"/>
    <n v="19.657429916869201"/>
    <n v="1156309"/>
  </r>
  <r>
    <x v="1"/>
    <x v="1"/>
    <x v="1"/>
    <x v="1"/>
    <x v="1"/>
    <n v="5"/>
    <n v="104907"/>
    <n v="215178"/>
    <n v="9059"/>
    <n v="784"/>
    <x v="1"/>
    <n v="4.2100028813354499E-2"/>
    <n v="8.6543768627883905E-2"/>
    <n v="11.580399999999999"/>
    <n v="133.8099"/>
    <n v="9.5126445327766493"/>
    <n v="997943"/>
  </r>
  <r>
    <x v="2"/>
    <x v="2"/>
    <x v="1"/>
    <x v="2"/>
    <x v="2"/>
    <n v="10"/>
    <n v="259749"/>
    <n v="2092780"/>
    <n v="50436"/>
    <n v="3263"/>
    <x v="2"/>
    <n v="2.4100000955666601E-2"/>
    <n v="6.4695852169085605E-2"/>
    <n v="5.1501000000000001"/>
    <n v="79.604399999999998"/>
    <m/>
    <m/>
  </r>
  <r>
    <x v="3"/>
    <x v="3"/>
    <x v="2"/>
    <x v="3"/>
    <x v="3"/>
    <n v="7"/>
    <n v="40624"/>
    <n v="202474"/>
    <n v="6054"/>
    <n v="314"/>
    <x v="3"/>
    <n v="2.9900135326017201E-2"/>
    <n v="5.1866534522629702E-2"/>
    <n v="6.7103000000000002"/>
    <n v="129.3758"/>
    <n v="17.223710122095302"/>
    <n v="699696"/>
  </r>
  <r>
    <x v="4"/>
    <x v="4"/>
    <x v="2"/>
    <x v="4"/>
    <x v="4"/>
    <n v="10"/>
    <n v="46457"/>
    <n v="233831"/>
    <n v="7202"/>
    <n v="522"/>
    <x v="4"/>
    <n v="3.0800022238283199E-2"/>
    <n v="7.2479866703693399E-2"/>
    <n v="6.4505999999999997"/>
    <n v="88.998099999999994"/>
    <n v="51.261811998191902"/>
    <n v="2381470"/>
  </r>
  <r>
    <x v="5"/>
    <x v="5"/>
    <x v="1"/>
    <x v="5"/>
    <x v="5"/>
    <n v="10"/>
    <n v="119683"/>
    <n v="299827"/>
    <n v="10434"/>
    <n v="1220"/>
    <x v="5"/>
    <n v="3.4800068039236E-2"/>
    <n v="0.116925436074372"/>
    <n v="11.470499999999999"/>
    <n v="98.100800000000007"/>
    <n v="17.485006224777099"/>
    <n v="2092658"/>
  </r>
  <r>
    <x v="6"/>
    <x v="6"/>
    <x v="1"/>
    <x v="6"/>
    <x v="6"/>
    <n v="45"/>
    <n v="279182"/>
    <n v="2633390"/>
    <n v="61358"/>
    <n v="3779"/>
    <x v="6"/>
    <n v="2.33000049366026E-2"/>
    <n v="6.1589360800547603E-2"/>
    <n v="4.5500999999999996"/>
    <n v="73.877200000000002"/>
    <n v="62.158122658337597"/>
    <n v="17353429"/>
  </r>
  <r>
    <x v="7"/>
    <x v="7"/>
    <x v="3"/>
    <x v="7"/>
    <x v="7"/>
    <n v="15"/>
    <n v="851133"/>
    <n v="6305789"/>
    <n v="35943"/>
    <n v="614"/>
    <x v="7"/>
    <n v="5.7000004281779803E-3"/>
    <n v="1.7082603010321901E-2"/>
    <n v="23.680099999999999"/>
    <n v="1386.2101"/>
    <n v="-0.42035498564854101"/>
    <n v="-357778"/>
  </r>
  <r>
    <x v="8"/>
    <x v="8"/>
    <x v="2"/>
    <x v="8"/>
    <x v="8"/>
    <n v="30"/>
    <n v="46123"/>
    <n v="427037"/>
    <n v="11530"/>
    <n v="423"/>
    <x v="8"/>
    <n v="2.70000023417175E-2"/>
    <n v="3.6686903729401601E-2"/>
    <n v="4.0003000000000002"/>
    <n v="109.0378"/>
    <n v="15.982741799102399"/>
    <n v="737172"/>
  </r>
  <r>
    <x v="9"/>
    <x v="9"/>
    <x v="0"/>
    <x v="9"/>
    <x v="9"/>
    <n v="21"/>
    <n v="20122"/>
    <n v="444775"/>
    <n v="13877"/>
    <n v="641"/>
    <x v="9"/>
    <n v="3.1200044966556099E-2"/>
    <n v="4.61915399582042E-2"/>
    <n v="1.45"/>
    <n v="31.3916"/>
    <n v="38.837292515654497"/>
    <n v="781484"/>
  </r>
  <r>
    <x v="10"/>
    <x v="10"/>
    <x v="2"/>
    <x v="10"/>
    <x v="10"/>
    <n v="10"/>
    <n v="165139"/>
    <n v="988593"/>
    <n v="31635"/>
    <n v="2442"/>
    <x v="10"/>
    <n v="3.20000242769269E-2"/>
    <n v="7.7192982456140397E-2"/>
    <n v="5.2201000000000004"/>
    <n v="67.624499999999998"/>
    <n v="93.9338859990674"/>
    <n v="15512148"/>
  </r>
  <r>
    <x v="11"/>
    <x v="11"/>
    <x v="3"/>
    <x v="11"/>
    <x v="11"/>
    <n v="60"/>
    <n v="567406"/>
    <n v="15148666"/>
    <n v="22723"/>
    <n v="515"/>
    <x v="2"/>
    <n v="1.50000006601241E-3"/>
    <n v="2.26642608810456E-2"/>
    <n v="24.970600000000001"/>
    <n v="1101.7592"/>
    <m/>
    <m/>
  </r>
  <r>
    <x v="12"/>
    <x v="12"/>
    <x v="2"/>
    <x v="12"/>
    <x v="12"/>
    <n v="5"/>
    <n v="25061"/>
    <n v="125884"/>
    <n v="3915"/>
    <n v="301"/>
    <x v="11"/>
    <n v="3.1100060373041801E-2"/>
    <n v="7.6883780332056201E-2"/>
    <n v="6.4013"/>
    <n v="83.259100000000004"/>
    <n v="24.829296516499699"/>
    <n v="622247"/>
  </r>
  <r>
    <x v="13"/>
    <x v="13"/>
    <x v="2"/>
    <x v="13"/>
    <x v="13"/>
    <n v="15"/>
    <n v="182883"/>
    <n v="1887967"/>
    <n v="35305"/>
    <n v="2503"/>
    <x v="12"/>
    <n v="1.8700009057361699E-2"/>
    <n v="7.0896473587310604E-2"/>
    <n v="5.1801000000000004"/>
    <n v="73.0655"/>
    <n v="43.873799095596603"/>
    <n v="8023772"/>
  </r>
  <r>
    <x v="14"/>
    <x v="14"/>
    <x v="1"/>
    <x v="14"/>
    <x v="11"/>
    <n v="15"/>
    <n v="124640"/>
    <n v="563602"/>
    <n v="15330"/>
    <n v="1781"/>
    <x v="13"/>
    <n v="2.7200045422124099E-2"/>
    <n v="0.11617742987606"/>
    <n v="8.1304999999999996"/>
    <n v="69.983199999999997"/>
    <n v="33.758624839537902"/>
    <n v="4207675"/>
  </r>
  <r>
    <x v="15"/>
    <x v="15"/>
    <x v="1"/>
    <x v="15"/>
    <x v="14"/>
    <n v="7"/>
    <n v="311789"/>
    <n v="1743837"/>
    <n v="44991"/>
    <n v="4580"/>
    <x v="14"/>
    <n v="2.58000030966197E-2"/>
    <n v="0.101798137405259"/>
    <n v="6.93"/>
    <n v="68.0762"/>
    <n v="77.978693924416802"/>
    <n v="24312899"/>
  </r>
  <r>
    <x v="16"/>
    <x v="16"/>
    <x v="3"/>
    <x v="16"/>
    <x v="15"/>
    <n v="14"/>
    <n v="570148"/>
    <n v="8104285"/>
    <n v="17019"/>
    <n v="347"/>
    <x v="15"/>
    <n v="2.10000018508727E-3"/>
    <n v="2.0388977025677199E-2"/>
    <n v="33.500700000000002"/>
    <n v="1643.0778"/>
    <n v="0.24718143359268099"/>
    <n v="140930"/>
  </r>
  <r>
    <x v="17"/>
    <x v="17"/>
    <x v="2"/>
    <x v="17"/>
    <x v="16"/>
    <n v="21"/>
    <n v="236960"/>
    <n v="616345"/>
    <n v="27489"/>
    <n v="2124"/>
    <x v="16"/>
    <n v="4.4600021092083199E-2"/>
    <n v="7.7267270544581504E-2"/>
    <n v="8.6202000000000005"/>
    <n v="111.56310000000001"/>
    <n v="6.1243838622552298"/>
    <n v="1451234"/>
  </r>
  <r>
    <x v="18"/>
    <x v="18"/>
    <x v="0"/>
    <x v="14"/>
    <x v="17"/>
    <n v="5"/>
    <n v="47793"/>
    <n v="495642"/>
    <n v="23543"/>
    <n v="2081"/>
    <x v="2"/>
    <n v="4.7500010087926398E-2"/>
    <n v="8.8391453935352304E-2"/>
    <n v="2.0299999999999998"/>
    <n v="22.9664"/>
    <m/>
    <m/>
  </r>
  <r>
    <x v="19"/>
    <x v="19"/>
    <x v="3"/>
    <x v="18"/>
    <x v="18"/>
    <n v="30"/>
    <n v="240963"/>
    <n v="1166101"/>
    <n v="6880"/>
    <n v="123"/>
    <x v="17"/>
    <n v="5.90000351599047E-3"/>
    <n v="1.7877906976744198E-2"/>
    <n v="35.023699999999998"/>
    <n v="1959.0488"/>
    <n v="-0.56679241211306297"/>
    <n v="-136576"/>
  </r>
  <r>
    <x v="20"/>
    <x v="20"/>
    <x v="2"/>
    <x v="19"/>
    <x v="19"/>
    <n v="45"/>
    <n v="185320"/>
    <n v="524346"/>
    <n v="23281"/>
    <n v="1382"/>
    <x v="18"/>
    <n v="4.4400071708375802E-2"/>
    <n v="5.9361711266698203E-2"/>
    <n v="7.9600999999999997"/>
    <n v="134.09549999999999"/>
    <n v="11.779311461256199"/>
    <n v="2182942"/>
  </r>
  <r>
    <x v="21"/>
    <x v="21"/>
    <x v="3"/>
    <x v="20"/>
    <x v="20"/>
    <n v="7"/>
    <n v="296014"/>
    <n v="2120555"/>
    <n v="11451"/>
    <n v="303"/>
    <x v="19"/>
    <n v="5.4000014147239797E-3"/>
    <n v="2.6460571129159002E-2"/>
    <n v="25.8505"/>
    <n v="976.94389999999999"/>
    <n v="-0.57201010763004401"/>
    <n v="-169323"/>
  </r>
  <r>
    <x v="22"/>
    <x v="22"/>
    <x v="3"/>
    <x v="21"/>
    <x v="21"/>
    <n v="21"/>
    <n v="720795"/>
    <n v="16639999"/>
    <n v="28288"/>
    <n v="797"/>
    <x v="20"/>
    <n v="1.7000001021634701E-3"/>
    <n v="2.81744909502262E-2"/>
    <n v="25.480599999999999"/>
    <n v="904.38520000000005"/>
    <n v="1.6322185919713601"/>
    <n v="1176495"/>
  </r>
  <r>
    <x v="23"/>
    <x v="23"/>
    <x v="3"/>
    <x v="22"/>
    <x v="22"/>
    <n v="60"/>
    <n v="707658"/>
    <n v="10455833"/>
    <n v="37641"/>
    <n v="1035"/>
    <x v="21"/>
    <n v="3.6000001147684698E-3"/>
    <n v="2.7496612736112199E-2"/>
    <n v="18.8002"/>
    <n v="683.72749999999996"/>
    <n v="0.63050513100961203"/>
    <n v="446182"/>
  </r>
  <r>
    <x v="24"/>
    <x v="24"/>
    <x v="2"/>
    <x v="23"/>
    <x v="23"/>
    <n v="7"/>
    <n v="41188"/>
    <n v="271372"/>
    <n v="8304"/>
    <n v="442"/>
    <x v="22"/>
    <n v="3.0600061907639701E-2"/>
    <n v="5.3227360308285197E-2"/>
    <n v="4.96"/>
    <n v="93.185500000000005"/>
    <n v="5.9966980673982704"/>
    <n v="246992"/>
  </r>
  <r>
    <x v="25"/>
    <x v="25"/>
    <x v="1"/>
    <x v="24"/>
    <x v="24"/>
    <n v="60"/>
    <n v="73223"/>
    <n v="234251"/>
    <n v="9698"/>
    <n v="779"/>
    <x v="23"/>
    <n v="4.1400036712756799E-2"/>
    <n v="8.0325840379459695E-2"/>
    <n v="7.5503"/>
    <n v="93.996099999999998"/>
    <n v="36.159171298635698"/>
    <n v="2647683"/>
  </r>
  <r>
    <x v="26"/>
    <x v="26"/>
    <x v="3"/>
    <x v="25"/>
    <x v="25"/>
    <n v="60"/>
    <n v="883183"/>
    <n v="5824444"/>
    <n v="31452"/>
    <n v="899"/>
    <x v="24"/>
    <n v="5.4000004120565003E-3"/>
    <n v="2.8583237949891899E-2"/>
    <n v="28.080300000000001"/>
    <n v="982.40599999999995"/>
    <n v="2.5117285998484999"/>
    <n v="2218316"/>
  </r>
  <r>
    <x v="27"/>
    <x v="27"/>
    <x v="0"/>
    <x v="26"/>
    <x v="26"/>
    <n v="30"/>
    <n v="25708"/>
    <n v="630898"/>
    <n v="21072"/>
    <n v="739"/>
    <x v="25"/>
    <n v="3.3400010778287498E-2"/>
    <n v="3.5070235383447203E-2"/>
    <n v="1.22"/>
    <n v="34.787599999999998"/>
    <n v="85.5598257351797"/>
    <n v="2199572"/>
  </r>
  <r>
    <x v="28"/>
    <x v="28"/>
    <x v="3"/>
    <x v="27"/>
    <x v="27"/>
    <n v="45"/>
    <n v="248697"/>
    <n v="2930294"/>
    <n v="9963"/>
    <n v="296"/>
    <x v="26"/>
    <n v="3.4000001365050701E-3"/>
    <n v="2.9709926728896899E-2"/>
    <n v="24.9621"/>
    <n v="840.19259999999997"/>
    <n v="-0.25191297040173399"/>
    <n v="-62650"/>
  </r>
  <r>
    <x v="29"/>
    <x v="29"/>
    <x v="0"/>
    <x v="28"/>
    <x v="28"/>
    <n v="14"/>
    <n v="25874"/>
    <n v="534761"/>
    <n v="20214"/>
    <n v="1085"/>
    <x v="27"/>
    <n v="3.7800063953803698E-2"/>
    <n v="5.3675670327495803E-2"/>
    <n v="1.28"/>
    <n v="23.847000000000001"/>
    <n v="73.524967148488798"/>
    <n v="1902385"/>
  </r>
  <r>
    <x v="30"/>
    <x v="30"/>
    <x v="1"/>
    <x v="29"/>
    <x v="29"/>
    <n v="7"/>
    <n v="159828"/>
    <n v="572953"/>
    <n v="13579"/>
    <n v="831"/>
    <x v="28"/>
    <n v="2.37000242602796E-2"/>
    <n v="6.1197437219235602E-2"/>
    <n v="11.770200000000001"/>
    <n v="192.3321"/>
    <n v="7.2161511124458801"/>
    <n v="1153343"/>
  </r>
  <r>
    <x v="31"/>
    <x v="31"/>
    <x v="3"/>
    <x v="30"/>
    <x v="30"/>
    <n v="15"/>
    <n v="306623"/>
    <n v="2997777"/>
    <n v="10792"/>
    <n v="214"/>
    <x v="29"/>
    <n v="3.6000009340254502E-3"/>
    <n v="1.9829503335804299E-2"/>
    <n v="28.412099999999999"/>
    <n v="1432.8178"/>
    <n v="-0.70518845618234804"/>
    <n v="-216227"/>
  </r>
  <r>
    <x v="32"/>
    <x v="32"/>
    <x v="2"/>
    <x v="31"/>
    <x v="31"/>
    <n v="5"/>
    <n v="48217"/>
    <n v="352742"/>
    <n v="6173"/>
    <n v="440"/>
    <x v="30"/>
    <n v="1.75000425239977E-2"/>
    <n v="7.1278146768184003E-2"/>
    <n v="7.8109999999999999"/>
    <n v="109.58410000000001"/>
    <n v="1.05247112014435"/>
    <n v="50747"/>
  </r>
  <r>
    <x v="33"/>
    <x v="33"/>
    <x v="1"/>
    <x v="20"/>
    <x v="32"/>
    <n v="5"/>
    <n v="165009"/>
    <n v="265974"/>
    <n v="14336"/>
    <n v="874"/>
    <x v="31"/>
    <n v="5.3900005263672397E-2"/>
    <n v="6.0965401785714302E-2"/>
    <n v="11.5101"/>
    <n v="188.79750000000001"/>
    <n v="7.4822888448508902"/>
    <n v="1234645"/>
  </r>
  <r>
    <x v="34"/>
    <x v="34"/>
    <x v="3"/>
    <x v="17"/>
    <x v="33"/>
    <n v="15"/>
    <n v="674380"/>
    <n v="8835833"/>
    <n v="21206"/>
    <n v="553"/>
    <x v="32"/>
    <n v="2.40000009054042E-3"/>
    <n v="2.60775252287089E-2"/>
    <n v="31.801400000000001"/>
    <n v="1219.4937"/>
    <n v="-0.790013049022806"/>
    <n v="-532769"/>
  </r>
  <r>
    <x v="35"/>
    <x v="35"/>
    <x v="0"/>
    <x v="32"/>
    <x v="34"/>
    <n v="45"/>
    <n v="48143"/>
    <n v="346982"/>
    <n v="13914"/>
    <n v="900"/>
    <x v="33"/>
    <n v="4.0100062827466601E-2"/>
    <n v="6.4683053040103494E-2"/>
    <n v="3.46"/>
    <n v="53.492199999999997"/>
    <n v="102.092038302557"/>
    <n v="4915017"/>
  </r>
  <r>
    <x v="36"/>
    <x v="36"/>
    <x v="0"/>
    <x v="30"/>
    <x v="35"/>
    <n v="10"/>
    <n v="27777"/>
    <n v="129502"/>
    <n v="7032"/>
    <n v="217"/>
    <x v="34"/>
    <n v="5.4300319686182402E-2"/>
    <n v="3.0858930602957899E-2"/>
    <n v="3.9500999999999999"/>
    <n v="128.00460000000001"/>
    <n v="52.381394679050999"/>
    <n v="1454998"/>
  </r>
  <r>
    <x v="37"/>
    <x v="37"/>
    <x v="2"/>
    <x v="33"/>
    <x v="36"/>
    <n v="30"/>
    <n v="200778"/>
    <n v="689030"/>
    <n v="22738"/>
    <n v="1400"/>
    <x v="35"/>
    <n v="3.3000014513156199E-2"/>
    <n v="6.1570938517020002E-2"/>
    <n v="8.8300999999999998"/>
    <n v="143.41290000000001"/>
    <n v="1.83683969359193"/>
    <n v="368797"/>
  </r>
  <r>
    <x v="38"/>
    <x v="38"/>
    <x v="4"/>
    <x v="34"/>
    <x v="37"/>
    <n v="60"/>
    <n v="406320"/>
    <n v="10558055"/>
    <n v="38009"/>
    <n v="357"/>
    <x v="36"/>
    <n v="3.6000001894288302E-3"/>
    <n v="9.39251229971849E-3"/>
    <n v="10.690099999999999"/>
    <n v="1138.1513"/>
    <n v="-0.797122957275054"/>
    <n v="-323887"/>
  </r>
  <r>
    <x v="39"/>
    <x v="39"/>
    <x v="1"/>
    <x v="35"/>
    <x v="38"/>
    <n v="14"/>
    <n v="304626"/>
    <n v="1286034"/>
    <n v="29836"/>
    <n v="3144"/>
    <x v="37"/>
    <n v="2.3200008708945501E-2"/>
    <n v="0.105376055771551"/>
    <n v="10.210000000000001"/>
    <n v="96.891199999999998"/>
    <n v="4.69483563451577"/>
    <n v="1430169"/>
  </r>
  <r>
    <x v="40"/>
    <x v="40"/>
    <x v="2"/>
    <x v="36"/>
    <x v="39"/>
    <n v="60"/>
    <n v="197371"/>
    <n v="613194"/>
    <n v="23608"/>
    <n v="1317"/>
    <x v="38"/>
    <n v="3.8500050554963E-2"/>
    <n v="5.5786174178244698E-2"/>
    <n v="8.3603000000000005"/>
    <n v="149.86410000000001"/>
    <n v="19.619098043785598"/>
    <n v="3872241"/>
  </r>
  <r>
    <x v="41"/>
    <x v="41"/>
    <x v="1"/>
    <x v="37"/>
    <x v="40"/>
    <n v="10"/>
    <n v="308949"/>
    <n v="749474"/>
    <n v="34251"/>
    <n v="3596"/>
    <x v="39"/>
    <n v="4.57000509690796E-2"/>
    <n v="0.104989635339114"/>
    <n v="9.0200999999999993"/>
    <n v="85.914599999999993"/>
    <n v="30.8360441367345"/>
    <n v="9526765"/>
  </r>
  <r>
    <x v="42"/>
    <x v="42"/>
    <x v="3"/>
    <x v="38"/>
    <x v="12"/>
    <n v="14"/>
    <n v="182674"/>
    <n v="2709761"/>
    <n v="11381"/>
    <n v="332"/>
    <x v="40"/>
    <n v="4.2000014023376997E-3"/>
    <n v="2.9171426060978799E-2"/>
    <n v="16.050799999999999"/>
    <n v="550.22289999999998"/>
    <n v="3.3038527650349798"/>
    <n v="603528"/>
  </r>
  <r>
    <x v="43"/>
    <x v="43"/>
    <x v="1"/>
    <x v="39"/>
    <x v="41"/>
    <n v="14"/>
    <n v="178303"/>
    <n v="923653"/>
    <n v="44243"/>
    <n v="161.929405297588"/>
    <x v="41"/>
    <n v="4.7900023060608303E-2"/>
    <n v="3.6600005717873562E-3"/>
    <n v="4.0301"/>
    <n v="1101.1156353740766"/>
    <n v="90.478993623214393"/>
    <n v="16132676"/>
  </r>
  <r>
    <x v="44"/>
    <x v="44"/>
    <x v="3"/>
    <x v="40"/>
    <x v="19"/>
    <n v="14"/>
    <n v="391944"/>
    <n v="1982881"/>
    <n v="11699"/>
    <n v="87.16291361711589"/>
    <x v="42"/>
    <n v="5.9000010590650699E-3"/>
    <n v="3.6600005717873562E-3"/>
    <n v="33.502400000000002"/>
    <n v="3024.6464816227813"/>
    <n v="-0.55265293001041005"/>
    <n v="-216609"/>
  </r>
  <r>
    <x v="45"/>
    <x v="45"/>
    <x v="2"/>
    <x v="41"/>
    <x v="42"/>
    <n v="14"/>
    <n v="182209"/>
    <n v="2077920"/>
    <n v="46961"/>
    <n v="80.399232560452859"/>
    <x v="43"/>
    <n v="2.26000038500038E-2"/>
    <n v="5.4698075322620908E-2"/>
    <n v="3.88"/>
    <n v="7103.923530246977"/>
    <n v="22.117727444857302"/>
    <n v="4030049"/>
  </r>
  <r>
    <x v="46"/>
    <x v="44"/>
    <x v="1"/>
    <x v="2"/>
    <x v="43"/>
    <n v="45"/>
    <n v="310813"/>
    <n v="1363415"/>
    <n v="49492"/>
    <n v="5018"/>
    <x v="44"/>
    <n v="3.63000260375601E-2"/>
    <n v="3.6600005717873562E-3"/>
    <n v="6.2801"/>
    <n v="61.939599999999999"/>
    <n v="58.810291075341098"/>
    <n v="18279003"/>
  </r>
  <r>
    <x v="47"/>
    <x v="46"/>
    <x v="2"/>
    <x v="33"/>
    <x v="44"/>
    <n v="7"/>
    <n v="142820"/>
    <n v="599210"/>
    <n v="15939"/>
    <n v="1195"/>
    <x v="45"/>
    <n v="2.6600023364096101E-2"/>
    <n v="7.4973335842901098E-2"/>
    <n v="8.9603999999999999"/>
    <n v="119.5146"/>
    <n v="4.4601386360453699"/>
    <n v="636997"/>
  </r>
  <r>
    <x v="48"/>
    <x v="47"/>
    <x v="1"/>
    <x v="42"/>
    <x v="45"/>
    <n v="60"/>
    <n v="99075"/>
    <n v="366120"/>
    <n v="10288"/>
    <n v="1150"/>
    <x v="46"/>
    <n v="2.8100076477657599E-2"/>
    <n v="0.11178071539657899"/>
    <n v="9.6302000000000003"/>
    <n v="86.152199999999993"/>
    <n v="35.102891748675198"/>
    <n v="3477819"/>
  </r>
  <r>
    <x v="49"/>
    <x v="48"/>
    <x v="0"/>
    <x v="43"/>
    <x v="46"/>
    <n v="10"/>
    <n v="27541"/>
    <n v="442808"/>
    <n v="12930"/>
    <n v="687"/>
    <x v="47"/>
    <n v="2.92000144532167E-2"/>
    <n v="5.3132250580046399E-2"/>
    <n v="2.13"/>
    <n v="40.088799999999999"/>
    <n v="99.335681347808702"/>
    <n v="2735804"/>
  </r>
  <r>
    <x v="50"/>
    <x v="49"/>
    <x v="1"/>
    <x v="44"/>
    <x v="47"/>
    <n v="15"/>
    <n v="235151"/>
    <n v="1543738"/>
    <n v="52024"/>
    <n v="5701"/>
    <x v="48"/>
    <n v="3.3700019044682401E-2"/>
    <n v="0.109584038136245"/>
    <n v="4.5199999999999996"/>
    <n v="41.247300000000003"/>
    <n v="28.714655689322999"/>
    <n v="6752280"/>
  </r>
  <r>
    <x v="51"/>
    <x v="50"/>
    <x v="2"/>
    <x v="45"/>
    <x v="48"/>
    <n v="5"/>
    <n v="99874"/>
    <n v="752051"/>
    <n v="14665"/>
    <n v="1148"/>
    <x v="49"/>
    <n v="1.95000073133338E-2"/>
    <n v="7.8281622911694507E-2"/>
    <n v="6.8103999999999996"/>
    <n v="86.9983"/>
    <n v="35.8472575445061"/>
    <n v="3580209"/>
  </r>
  <r>
    <x v="52"/>
    <x v="51"/>
    <x v="3"/>
    <x v="46"/>
    <x v="49"/>
    <n v="30"/>
    <n v="725907"/>
    <n v="25808571"/>
    <n v="36132"/>
    <n v="1036"/>
    <x v="50"/>
    <n v="1.4000000232480901E-3"/>
    <n v="2.8672644747038602E-2"/>
    <n v="20.090399999999999"/>
    <n v="700.68240000000003"/>
    <n v="1.36506604840565"/>
    <n v="990911"/>
  </r>
  <r>
    <x v="53"/>
    <x v="52"/>
    <x v="4"/>
    <x v="47"/>
    <x v="50"/>
    <n v="60"/>
    <n v="329057"/>
    <n v="9956470"/>
    <n v="16926"/>
    <n v="186"/>
    <x v="51"/>
    <n v="1.7000001004371999E-3"/>
    <n v="1.0989010989011E-2"/>
    <n v="19.440899999999999"/>
    <n v="1769.1237000000001"/>
    <n v="0.67535411797956002"/>
    <n v="222230"/>
  </r>
  <r>
    <x v="54"/>
    <x v="53"/>
    <x v="2"/>
    <x v="48"/>
    <x v="51"/>
    <n v="45"/>
    <n v="200341"/>
    <n v="1865350"/>
    <n v="37307"/>
    <n v="1108"/>
    <x v="52"/>
    <n v="0.02"/>
    <n v="2.9699520197282E-2"/>
    <n v="5.3700999999999999"/>
    <n v="180.81319999999999"/>
    <n v="9.0384544351879992"/>
    <n v="1810773"/>
  </r>
  <r>
    <x v="55"/>
    <x v="54"/>
    <x v="4"/>
    <x v="49"/>
    <x v="52"/>
    <n v="45"/>
    <n v="296377"/>
    <n v="10099999"/>
    <n v="14140"/>
    <n v="120"/>
    <x v="53"/>
    <n v="1.4000001386138799E-3"/>
    <n v="8.4865629420084899E-3"/>
    <n v="20.9602"/>
    <n v="2469.8083000000001"/>
    <n v="-0.69447696683615801"/>
    <n v="-205827"/>
  </r>
  <r>
    <x v="56"/>
    <x v="55"/>
    <x v="2"/>
    <x v="50"/>
    <x v="53"/>
    <n v="5"/>
    <n v="125358"/>
    <n v="745114"/>
    <n v="22875"/>
    <n v="974"/>
    <x v="54"/>
    <n v="3.0700000268415299E-2"/>
    <n v="4.2579234972677599E-2"/>
    <n v="5.4801000000000002"/>
    <n v="128.70429999999999"/>
    <n v="24.354839738987501"/>
    <n v="3053074"/>
  </r>
  <r>
    <x v="57"/>
    <x v="56"/>
    <x v="2"/>
    <x v="51"/>
    <x v="51"/>
    <n v="60"/>
    <n v="190052"/>
    <n v="606271"/>
    <n v="24554"/>
    <n v="628"/>
    <x v="55"/>
    <n v="4.05000404109713E-2"/>
    <n v="2.55762808503706E-2"/>
    <n v="7.7401999999999997"/>
    <n v="302.63060000000002"/>
    <n v="4.97852166775409"/>
    <n v="946178"/>
  </r>
  <r>
    <x v="58"/>
    <x v="57"/>
    <x v="3"/>
    <x v="47"/>
    <x v="54"/>
    <n v="5"/>
    <n v="183809"/>
    <n v="1493958"/>
    <n v="7171"/>
    <n v="187"/>
    <x v="56"/>
    <n v="4.8000010709805798E-3"/>
    <n v="2.6077255612885201E-2"/>
    <n v="25.632300000000001"/>
    <n v="982.93579999999997"/>
    <n v="0.72012795891387305"/>
    <n v="132366"/>
  </r>
  <r>
    <x v="59"/>
    <x v="58"/>
    <x v="4"/>
    <x v="52"/>
    <x v="55"/>
    <n v="14"/>
    <n v="384671"/>
    <n v="12776521"/>
    <n v="29386"/>
    <n v="546"/>
    <x v="57"/>
    <n v="2.3000001330565701E-3"/>
    <n v="1.8580276322058099E-2"/>
    <n v="13.090299999999999"/>
    <n v="704.52560000000005"/>
    <n v="2.9579978735074901"/>
    <n v="1137856"/>
  </r>
  <r>
    <x v="60"/>
    <x v="59"/>
    <x v="1"/>
    <x v="53"/>
    <x v="56"/>
    <n v="5"/>
    <n v="105877"/>
    <n v="346111"/>
    <n v="18067"/>
    <n v="1654"/>
    <x v="58"/>
    <n v="5.2200016757629801E-2"/>
    <n v="9.1548126418331793E-2"/>
    <n v="5.8601999999999999"/>
    <n v="64.012699999999995"/>
    <n v="74.117683727344001"/>
    <n v="7847358"/>
  </r>
  <r>
    <x v="61"/>
    <x v="60"/>
    <x v="0"/>
    <x v="54"/>
    <x v="12"/>
    <n v="7"/>
    <n v="9610"/>
    <n v="87189"/>
    <n v="5057"/>
    <n v="219"/>
    <x v="59"/>
    <n v="5.8000435834795701E-2"/>
    <n v="4.3306308087799103E-2"/>
    <n v="1.9003000000000001"/>
    <n v="43.881300000000003"/>
    <n v="43.319979188345499"/>
    <n v="416305"/>
  </r>
  <r>
    <x v="62"/>
    <x v="61"/>
    <x v="0"/>
    <x v="55"/>
    <x v="57"/>
    <n v="45"/>
    <n v="25732"/>
    <n v="157101"/>
    <n v="8782"/>
    <n v="555"/>
    <x v="60"/>
    <n v="5.5900344364453403E-2"/>
    <n v="6.3197449328171298E-2"/>
    <n v="2.9300999999999999"/>
    <n v="46.363999999999997"/>
    <n v="26.627817503497599"/>
    <n v="685187"/>
  </r>
  <r>
    <x v="63"/>
    <x v="62"/>
    <x v="2"/>
    <x v="56"/>
    <x v="58"/>
    <n v="30"/>
    <n v="92438"/>
    <n v="763610"/>
    <n v="21152"/>
    <n v="892"/>
    <x v="61"/>
    <n v="2.7700003928707102E-2"/>
    <n v="4.2170953101361597E-2"/>
    <n v="4.3701999999999996"/>
    <n v="103.63"/>
    <n v="16.5337415348666"/>
    <n v="1528346"/>
  </r>
  <r>
    <x v="64"/>
    <x v="63"/>
    <x v="1"/>
    <x v="57"/>
    <x v="59"/>
    <n v="14"/>
    <n v="193150"/>
    <n v="516976"/>
    <n v="19490"/>
    <n v="1099"/>
    <x v="62"/>
    <n v="3.7700009284763698E-2"/>
    <n v="5.6387891226269901E-2"/>
    <n v="9.9101999999999997"/>
    <n v="175.75069999999999"/>
    <n v="10.2692932953663"/>
    <n v="1983514"/>
  </r>
  <r>
    <x v="65"/>
    <x v="64"/>
    <x v="2"/>
    <x v="52"/>
    <x v="54"/>
    <n v="15"/>
    <n v="188472"/>
    <n v="1532475"/>
    <n v="31569"/>
    <n v="1054"/>
    <x v="63"/>
    <n v="2.0600009788087899E-2"/>
    <n v="3.3387183629510001E-2"/>
    <n v="5.9702000000000002"/>
    <n v="178.8159"/>
    <n v="12.822870240672399"/>
    <n v="2416752"/>
  </r>
  <r>
    <x v="66"/>
    <x v="65"/>
    <x v="2"/>
    <x v="58"/>
    <x v="30"/>
    <n v="10"/>
    <n v="38589"/>
    <n v="259268"/>
    <n v="5315"/>
    <n v="249"/>
    <x v="64"/>
    <n v="2.0500023142076901E-2"/>
    <n v="4.6848541862652901E-2"/>
    <n v="7.2603999999999997"/>
    <n v="154.9759"/>
    <n v="42.3367021690119"/>
    <n v="1633731"/>
  </r>
  <r>
    <x v="67"/>
    <x v="66"/>
    <x v="0"/>
    <x v="59"/>
    <x v="60"/>
    <n v="10"/>
    <n v="39393"/>
    <n v="465823"/>
    <n v="12158"/>
    <n v="930"/>
    <x v="65"/>
    <n v="2.6100042290741299E-2"/>
    <n v="7.6492844217799005E-2"/>
    <n v="3.2401"/>
    <n v="42.3581"/>
    <n v="113.82971593937999"/>
    <n v="4484094"/>
  </r>
  <r>
    <x v="68"/>
    <x v="67"/>
    <x v="2"/>
    <x v="56"/>
    <x v="61"/>
    <n v="15"/>
    <n v="117134"/>
    <n v="510072"/>
    <n v="21219"/>
    <n v="1139"/>
    <x v="66"/>
    <n v="4.1600009410436199E-2"/>
    <n v="5.3678307177529597E-2"/>
    <n v="5.5202"/>
    <n v="102.83929999999999"/>
    <n v="14.426707873034299"/>
    <n v="1689858"/>
  </r>
  <r>
    <x v="69"/>
    <x v="68"/>
    <x v="2"/>
    <x v="60"/>
    <x v="62"/>
    <n v="45"/>
    <n v="122704"/>
    <n v="691267"/>
    <n v="19632"/>
    <n v="773"/>
    <x v="67"/>
    <n v="2.84000248818474E-2"/>
    <n v="3.9374490627546901E-2"/>
    <n v="6.2502000000000004"/>
    <n v="158.73740000000001"/>
    <n v="20.3678690181249"/>
    <n v="2499219"/>
  </r>
  <r>
    <x v="70"/>
    <x v="69"/>
    <x v="2"/>
    <x v="61"/>
    <x v="63"/>
    <n v="7"/>
    <n v="92375"/>
    <n v="1310769"/>
    <n v="22152"/>
    <n v="1247"/>
    <x v="68"/>
    <n v="1.6900002975352602E-2"/>
    <n v="5.62928855182376E-2"/>
    <n v="4.1700999999999997"/>
    <n v="74.077799999999996"/>
    <n v="27.221380243572401"/>
    <n v="2514575"/>
  </r>
  <r>
    <x v="71"/>
    <x v="70"/>
    <x v="2"/>
    <x v="62"/>
    <x v="64"/>
    <n v="21"/>
    <n v="102963"/>
    <n v="904323"/>
    <n v="34093"/>
    <n v="2556"/>
    <x v="69"/>
    <n v="3.7700025322810603E-2"/>
    <n v="7.4971401754025793E-2"/>
    <n v="3.0200999999999998"/>
    <n v="40.282899999999998"/>
    <n v="104.89683672775701"/>
    <n v="10800493"/>
  </r>
  <r>
    <x v="72"/>
    <x v="71"/>
    <x v="1"/>
    <x v="7"/>
    <x v="65"/>
    <n v="45"/>
    <n v="171620"/>
    <n v="312865"/>
    <n v="15174"/>
    <n v="767"/>
    <x v="70"/>
    <n v="4.8500151822671103E-2"/>
    <n v="5.0546988269408198E-2"/>
    <n v="11.3101"/>
    <n v="223.75489999999999"/>
    <n v="13.8518820650274"/>
    <n v="2377260"/>
  </r>
  <r>
    <x v="73"/>
    <x v="72"/>
    <x v="1"/>
    <x v="63"/>
    <x v="66"/>
    <n v="21"/>
    <n v="281582"/>
    <n v="862194"/>
    <n v="40868"/>
    <n v="1892"/>
    <x v="71"/>
    <n v="4.7400005103259799E-2"/>
    <n v="4.6295390036214197E-2"/>
    <n v="6.89"/>
    <n v="148.82769999999999"/>
    <n v="5.99862562237643"/>
    <n v="1689105"/>
  </r>
  <r>
    <x v="74"/>
    <x v="73"/>
    <x v="1"/>
    <x v="64"/>
    <x v="67"/>
    <n v="21"/>
    <n v="263637"/>
    <n v="436172"/>
    <n v="23815"/>
    <n v="87.16291361711589"/>
    <x v="72"/>
    <n v="5.4600020175527099E-2"/>
    <n v="3.6600005717873562E-3"/>
    <n v="11.0702"/>
    <n v="3024.6464816227813"/>
    <n v="4.8250321464741299"/>
    <n v="1272057"/>
  </r>
  <r>
    <x v="75"/>
    <x v="74"/>
    <x v="2"/>
    <x v="65"/>
    <x v="68"/>
    <n v="45"/>
    <n v="221077"/>
    <n v="928926"/>
    <n v="35485"/>
    <n v="2327"/>
    <x v="73"/>
    <n v="3.8200028850521997E-2"/>
    <n v="6.5577004368042799E-2"/>
    <n v="6.2302"/>
    <n v="95.005200000000002"/>
    <n v="18.246312370802901"/>
    <n v="4033840"/>
  </r>
  <r>
    <x v="76"/>
    <x v="75"/>
    <x v="1"/>
    <x v="66"/>
    <x v="69"/>
    <n v="14"/>
    <n v="169724"/>
    <n v="1096276"/>
    <n v="30915"/>
    <n v="1932"/>
    <x v="74"/>
    <n v="2.8200015324607999E-2"/>
    <n v="6.2493934983018001E-2"/>
    <n v="5.49"/>
    <n v="87.8489"/>
    <n v="16.923092785934799"/>
    <n v="2872255"/>
  </r>
  <r>
    <x v="77"/>
    <x v="76"/>
    <x v="1"/>
    <x v="59"/>
    <x v="6"/>
    <n v="7"/>
    <n v="283225"/>
    <n v="1005932"/>
    <n v="23740"/>
    <n v="1851"/>
    <x v="75"/>
    <n v="2.36000047716943E-2"/>
    <n v="7.7969671440606597E-2"/>
    <n v="11.930300000000001"/>
    <n v="153.0119"/>
    <n v="22.5849483626092"/>
    <n v="6396622"/>
  </r>
  <r>
    <x v="78"/>
    <x v="77"/>
    <x v="2"/>
    <x v="67"/>
    <x v="70"/>
    <n v="5"/>
    <n v="182415"/>
    <n v="634923"/>
    <n v="20635"/>
    <n v="1564"/>
    <x v="76"/>
    <n v="3.2500003937485297E-2"/>
    <n v="7.5793554640174399E-2"/>
    <n v="8.8400999999999996"/>
    <n v="116.6336"/>
    <n v="12.845884384507899"/>
    <n v="2343282"/>
  </r>
  <r>
    <x v="79"/>
    <x v="78"/>
    <x v="1"/>
    <x v="68"/>
    <x v="71"/>
    <n v="21"/>
    <n v="59636"/>
    <n v="344578"/>
    <n v="8580"/>
    <n v="483"/>
    <x v="77"/>
    <n v="2.49000226363842E-2"/>
    <n v="5.6293706293706301E-2"/>
    <n v="6.9505999999999997"/>
    <n v="123.47"/>
    <n v="11.5894929237373"/>
    <n v="691151"/>
  </r>
  <r>
    <x v="80"/>
    <x v="79"/>
    <x v="3"/>
    <x v="69"/>
    <x v="72"/>
    <n v="30"/>
    <n v="344138"/>
    <n v="8051428"/>
    <n v="11272"/>
    <n v="119"/>
    <x v="78"/>
    <n v="1.4000000993612601E-3"/>
    <n v="1.05571327182399E-2"/>
    <n v="30.5303"/>
    <n v="2891.9160000000002"/>
    <n v="-0.73779704653365796"/>
    <n v="-253904"/>
  </r>
  <r>
    <x v="81"/>
    <x v="80"/>
    <x v="1"/>
    <x v="70"/>
    <x v="73"/>
    <n v="60"/>
    <n v="125820"/>
    <n v="594000"/>
    <n v="17523"/>
    <n v="2086"/>
    <x v="79"/>
    <n v="2.9499999999999998E-2"/>
    <n v="0.119043542772356"/>
    <n v="7.1802999999999999"/>
    <n v="60.316400000000002"/>
    <n v="82.951057065649394"/>
    <n v="10436902"/>
  </r>
  <r>
    <x v="82"/>
    <x v="81"/>
    <x v="0"/>
    <x v="71"/>
    <x v="74"/>
    <n v="5"/>
    <n v="47236"/>
    <n v="588277"/>
    <n v="29708"/>
    <n v="1316"/>
    <x v="80"/>
    <n v="5.0500019548614002E-2"/>
    <n v="4.4297832233741799E-2"/>
    <n v="1.59"/>
    <n v="35.893599999999999"/>
    <n v="6.1538021847743201"/>
    <n v="290681"/>
  </r>
  <r>
    <x v="83"/>
    <x v="82"/>
    <x v="1"/>
    <x v="72"/>
    <x v="26"/>
    <n v="21"/>
    <n v="125220"/>
    <n v="1139678"/>
    <n v="24845"/>
    <n v="1277"/>
    <x v="81"/>
    <n v="2.18000171978401E-2"/>
    <n v="5.1398671764942602E-2"/>
    <n v="5.04"/>
    <n v="98.057900000000004"/>
    <n v="23.316211467816601"/>
    <n v="2919656"/>
  </r>
  <r>
    <x v="84"/>
    <x v="83"/>
    <x v="1"/>
    <x v="73"/>
    <x v="75"/>
    <n v="10"/>
    <n v="188528"/>
    <n v="1370692"/>
    <n v="35638"/>
    <n v="1617"/>
    <x v="82"/>
    <n v="2.6000005836467999E-2"/>
    <n v="4.53729165497503E-2"/>
    <n v="5.2900999999999998"/>
    <n v="116.5912"/>
    <n v="32.489561232283798"/>
    <n v="6125192"/>
  </r>
  <r>
    <x v="85"/>
    <x v="84"/>
    <x v="2"/>
    <x v="74"/>
    <x v="76"/>
    <n v="5"/>
    <n v="107451"/>
    <n v="756168"/>
    <n v="32364"/>
    <n v="1401"/>
    <x v="83"/>
    <n v="4.2800012695591499E-2"/>
    <n v="4.3288839451242102E-2"/>
    <n v="3.3201000000000001"/>
    <n v="76.695899999999995"/>
    <n v="69.517640598970701"/>
    <n v="7469740"/>
  </r>
  <r>
    <x v="86"/>
    <x v="85"/>
    <x v="3"/>
    <x v="75"/>
    <x v="77"/>
    <n v="14"/>
    <n v="574132"/>
    <n v="9452000"/>
    <n v="18904"/>
    <n v="368"/>
    <x v="84"/>
    <n v="2E-3"/>
    <n v="1.9466779517562399E-2"/>
    <n v="30.370899999999999"/>
    <n v="1560.1413"/>
    <n v="-6.0364167125330097E-2"/>
    <n v="-34657"/>
  </r>
  <r>
    <x v="87"/>
    <x v="86"/>
    <x v="0"/>
    <x v="76"/>
    <x v="78"/>
    <n v="7"/>
    <n v="21191"/>
    <n v="101289"/>
    <n v="5419"/>
    <n v="235"/>
    <x v="85"/>
    <n v="5.3500380100504501E-2"/>
    <n v="4.3365934674294199E-2"/>
    <n v="3.9104999999999999"/>
    <n v="90.174499999999995"/>
    <n v="73.9596526827427"/>
    <n v="1567279"/>
  </r>
  <r>
    <x v="88"/>
    <x v="87"/>
    <x v="0"/>
    <x v="77"/>
    <x v="79"/>
    <n v="45"/>
    <n v="46093"/>
    <n v="290167"/>
    <n v="13841"/>
    <n v="714"/>
    <x v="86"/>
    <n v="4.7700117518532398E-2"/>
    <n v="5.1585868073116103E-2"/>
    <n v="3.3302"/>
    <n v="64.555999999999997"/>
    <n v="36.589764172434002"/>
    <n v="1686532"/>
  </r>
  <r>
    <x v="89"/>
    <x v="88"/>
    <x v="0"/>
    <x v="78"/>
    <x v="80"/>
    <n v="5"/>
    <n v="45559"/>
    <n v="278547"/>
    <n v="11504"/>
    <n v="705"/>
    <x v="87"/>
    <n v="4.1300031951519801E-2"/>
    <n v="6.1283031988873402E-2"/>
    <n v="3.9603000000000002"/>
    <n v="64.622699999999995"/>
    <n v="107.108540573762"/>
    <n v="4879758"/>
  </r>
  <r>
    <x v="90"/>
    <x v="89"/>
    <x v="0"/>
    <x v="47"/>
    <x v="81"/>
    <n v="7"/>
    <n v="28499"/>
    <n v="441276"/>
    <n v="12444"/>
    <n v="757"/>
    <x v="88"/>
    <n v="2.8200038071411099E-2"/>
    <n v="6.0832529733204799E-2"/>
    <n v="2.2902"/>
    <n v="37.647300000000001"/>
    <n v="49.940068072563903"/>
    <n v="1423242"/>
  </r>
  <r>
    <x v="91"/>
    <x v="90"/>
    <x v="1"/>
    <x v="79"/>
    <x v="82"/>
    <n v="7"/>
    <n v="304201"/>
    <n v="636869"/>
    <n v="27258"/>
    <n v="2799"/>
    <x v="89"/>
    <n v="4.2800010677234997E-2"/>
    <n v="0.10268545014307701"/>
    <n v="11.1601"/>
    <n v="108.682"/>
    <n v="11.611473992524701"/>
    <n v="3532222"/>
  </r>
  <r>
    <x v="92"/>
    <x v="91"/>
    <x v="4"/>
    <x v="80"/>
    <x v="13"/>
    <n v="45"/>
    <n v="323131"/>
    <n v="389102.10082533304"/>
    <n v="13622"/>
    <n v="128"/>
    <x v="90"/>
    <n v="3.5008806097695376E-2"/>
    <n v="9.3965643811481404E-3"/>
    <n v="23.721299999999999"/>
    <n v="2524.4609"/>
    <n v="-0.45467937152424198"/>
    <n v="-146921"/>
  </r>
  <r>
    <x v="93"/>
    <x v="92"/>
    <x v="2"/>
    <x v="81"/>
    <x v="83"/>
    <n v="45"/>
    <n v="91626"/>
    <n v="1178646.3064422051"/>
    <n v="15245"/>
    <n v="495"/>
    <x v="91"/>
    <n v="3.0680985644618318E-2"/>
    <n v="3.2469662184322699E-2"/>
    <n v="6.0102000000000002"/>
    <n v="185.10300000000001"/>
    <n v="11.9480715080872"/>
    <n v="1094754"/>
  </r>
  <r>
    <x v="94"/>
    <x v="93"/>
    <x v="2"/>
    <x v="64"/>
    <x v="84"/>
    <n v="30"/>
    <n v="191873"/>
    <n v="628785"/>
    <n v="22259"/>
    <n v="1640"/>
    <x v="92"/>
    <n v="3.5008806097695376E-2"/>
    <n v="7.3678062806056002E-2"/>
    <n v="8.6199999999999992"/>
    <n v="116.9957"/>
    <n v="16.607573759726499"/>
    <n v="3186545"/>
  </r>
  <r>
    <x v="95"/>
    <x v="94"/>
    <x v="1"/>
    <x v="82"/>
    <x v="76"/>
    <n v="21"/>
    <n v="331074"/>
    <n v="918888"/>
    <n v="40523"/>
    <n v="4526"/>
    <x v="93"/>
    <n v="4.4100042660258902E-2"/>
    <n v="0.111689657725242"/>
    <n v="8.17"/>
    <n v="73.1494"/>
    <n v="57.453306511535203"/>
    <n v="19021296"/>
  </r>
  <r>
    <x v="96"/>
    <x v="95"/>
    <x v="3"/>
    <x v="83"/>
    <x v="85"/>
    <n v="15"/>
    <n v="536866"/>
    <n v="6514999"/>
    <n v="18242"/>
    <n v="461"/>
    <x v="94"/>
    <n v="2.8000004297775E-3"/>
    <n v="2.52713518254577E-2"/>
    <n v="29.430199999999999"/>
    <n v="1164.5682999999999"/>
    <n v="4.9999441201342601E-2"/>
    <n v="26843"/>
  </r>
  <r>
    <x v="97"/>
    <x v="96"/>
    <x v="0"/>
    <x v="53"/>
    <x v="86"/>
    <n v="21"/>
    <n v="53963"/>
    <n v="1624403"/>
    <n v="49057"/>
    <n v="3586"/>
    <x v="95"/>
    <n v="3.0200018098957001E-2"/>
    <n v="7.3098640357135605E-2"/>
    <n v="1.1000000000000001"/>
    <n v="15.0482"/>
    <n v="243.22274521431399"/>
    <n v="13125029"/>
  </r>
  <r>
    <x v="98"/>
    <x v="97"/>
    <x v="0"/>
    <x v="84"/>
    <x v="87"/>
    <n v="5"/>
    <n v="8564"/>
    <n v="226711"/>
    <n v="8479"/>
    <n v="317"/>
    <x v="96"/>
    <n v="3.7400037933757103E-2"/>
    <n v="3.7386484255218802E-2"/>
    <n v="1.01"/>
    <n v="27.015799999999999"/>
    <n v="130.97419430172801"/>
    <n v="1121663"/>
  </r>
  <r>
    <x v="99"/>
    <x v="98"/>
    <x v="2"/>
    <x v="85"/>
    <x v="22"/>
    <n v="45"/>
    <n v="60323"/>
    <n v="502179"/>
    <n v="19585"/>
    <n v="1222"/>
    <x v="97"/>
    <n v="3.9000037835114597E-2"/>
    <n v="6.23946898136329E-2"/>
    <n v="3.0800999999999998"/>
    <n v="49.364199999999997"/>
    <n v="37.387480728743597"/>
    <n v="2255325"/>
  </r>
  <r>
    <x v="100"/>
    <x v="99"/>
    <x v="3"/>
    <x v="86"/>
    <x v="88"/>
    <n v="5"/>
    <n v="826276"/>
    <n v="4229454"/>
    <n v="23262"/>
    <n v="509"/>
    <x v="98"/>
    <n v="5.50000070931142E-3"/>
    <n v="2.18811796062247E-2"/>
    <n v="35.520400000000002"/>
    <n v="1623.3320000000001"/>
    <n v="0.34435225033765998"/>
    <n v="284530"/>
  </r>
  <r>
    <x v="101"/>
    <x v="100"/>
    <x v="2"/>
    <x v="37"/>
    <x v="89"/>
    <n v="5"/>
    <n v="41129"/>
    <n v="244264"/>
    <n v="6644"/>
    <n v="227"/>
    <x v="99"/>
    <n v="2.7200078603478201E-2"/>
    <n v="3.4166164960867003E-2"/>
    <n v="6.1904000000000003"/>
    <n v="181.185"/>
    <n v="3.19791388071677"/>
    <n v="131527"/>
  </r>
  <r>
    <x v="102"/>
    <x v="101"/>
    <x v="0"/>
    <x v="33"/>
    <x v="90"/>
    <n v="60"/>
    <n v="47440"/>
    <n v="303663"/>
    <n v="16246"/>
    <n v="685"/>
    <x v="100"/>
    <n v="5.3500097147166401E-2"/>
    <n v="4.2164225040009801E-2"/>
    <n v="2.9201000000000001"/>
    <n v="69.255499999999998"/>
    <n v="23.5795531197302"/>
    <n v="1118614"/>
  </r>
  <r>
    <x v="103"/>
    <x v="102"/>
    <x v="1"/>
    <x v="87"/>
    <x v="91"/>
    <n v="30"/>
    <n v="283933"/>
    <n v="1426386"/>
    <n v="61192"/>
    <n v="3304"/>
    <x v="101"/>
    <n v="4.2900028463543502E-2"/>
    <n v="5.3993986141979297E-2"/>
    <n v="4.6399999999999997"/>
    <n v="85.936099999999996"/>
    <n v="13.725949431732101"/>
    <n v="3897250"/>
  </r>
  <r>
    <x v="104"/>
    <x v="103"/>
    <x v="3"/>
    <x v="88"/>
    <x v="92"/>
    <n v="15"/>
    <n v="428908"/>
    <n v="3154545"/>
    <n v="13880"/>
    <n v="328"/>
    <x v="102"/>
    <n v="4.4000006340058602E-3"/>
    <n v="2.3631123919308401E-2"/>
    <n v="30.901199999999999"/>
    <n v="1307.6463000000001"/>
    <n v="1.6624707396458001"/>
    <n v="713047"/>
  </r>
  <r>
    <x v="105"/>
    <x v="104"/>
    <x v="2"/>
    <x v="89"/>
    <x v="93"/>
    <n v="14"/>
    <n v="66729"/>
    <n v="359677"/>
    <n v="8920"/>
    <n v="649"/>
    <x v="103"/>
    <n v="2.4800028914831899E-2"/>
    <n v="7.2757847533632306E-2"/>
    <n v="7.4808000000000003"/>
    <n v="102.8182"/>
    <n v="26.1860660282636"/>
    <n v="1747370"/>
  </r>
  <r>
    <x v="106"/>
    <x v="105"/>
    <x v="0"/>
    <x v="57"/>
    <x v="94"/>
    <n v="60"/>
    <n v="6737"/>
    <n v="57857"/>
    <n v="2916"/>
    <n v="203"/>
    <x v="104"/>
    <n v="5.0400124444751698E-2"/>
    <n v="6.9615912208504799E-2"/>
    <n v="2.3104"/>
    <n v="33.187199999999997"/>
    <n v="119.02048389490901"/>
    <n v="801841"/>
  </r>
  <r>
    <x v="107"/>
    <x v="106"/>
    <x v="1"/>
    <x v="19"/>
    <x v="95"/>
    <n v="10"/>
    <n v="57256"/>
    <n v="572447"/>
    <n v="13567"/>
    <n v="1550"/>
    <x v="105"/>
    <n v="2.37000106560083E-2"/>
    <n v="0.11424780717918499"/>
    <n v="4.2202000000000002"/>
    <n v="36.939399999999999"/>
    <n v="143.94369149084801"/>
    <n v="8241640"/>
  </r>
  <r>
    <x v="108"/>
    <x v="107"/>
    <x v="2"/>
    <x v="90"/>
    <x v="96"/>
    <n v="5"/>
    <n v="218143"/>
    <n v="1634078"/>
    <n v="66507"/>
    <n v="4369"/>
    <x v="106"/>
    <n v="4.0700015543933599E-2"/>
    <n v="6.5692333137865197E-2"/>
    <n v="3.28"/>
    <n v="49.929699999999997"/>
    <n v="45.914578968841496"/>
    <n v="10015944"/>
  </r>
  <r>
    <x v="109"/>
    <x v="108"/>
    <x v="4"/>
    <x v="32"/>
    <x v="95"/>
    <n v="30"/>
    <n v="408555"/>
    <n v="32171111"/>
    <n v="28954"/>
    <n v="165"/>
    <x v="107"/>
    <n v="9.0000000310837898E-4"/>
    <n v="5.69869448090074E-3"/>
    <n v="14.1105"/>
    <n v="2476.0909000000001"/>
    <n v="8.5430358213704399E-2"/>
    <n v="34903"/>
  </r>
  <r>
    <x v="110"/>
    <x v="109"/>
    <x v="2"/>
    <x v="91"/>
    <x v="97"/>
    <n v="14"/>
    <n v="108660"/>
    <n v="949342"/>
    <n v="21645"/>
    <n v="889"/>
    <x v="108"/>
    <n v="2.2800002528066798E-2"/>
    <n v="4.10718410718411E-2"/>
    <n v="5.0201000000000002"/>
    <n v="122.2272"/>
    <n v="8.8419657647708405"/>
    <n v="960768"/>
  </r>
  <r>
    <x v="111"/>
    <x v="110"/>
    <x v="3"/>
    <x v="50"/>
    <x v="53"/>
    <n v="5"/>
    <n v="182766"/>
    <n v="1439387"/>
    <n v="7053"/>
    <n v="119"/>
    <x v="109"/>
    <n v="4.9000025705387097E-3"/>
    <n v="1.6872252942010502E-2"/>
    <n v="25.9132"/>
    <n v="1535.8487"/>
    <n v="-0.24489784752087401"/>
    <n v="-44759"/>
  </r>
  <r>
    <x v="112"/>
    <x v="111"/>
    <x v="3"/>
    <x v="87"/>
    <x v="98"/>
    <n v="10"/>
    <n v="151362"/>
    <n v="2245000"/>
    <n v="5388"/>
    <n v="134"/>
    <x v="110"/>
    <n v="2.3999999999999998E-3"/>
    <n v="2.48700816629547E-2"/>
    <n v="28.092400000000001"/>
    <n v="1129.5672"/>
    <n v="-0.83243482512123201"/>
    <n v="-125999"/>
  </r>
  <r>
    <x v="113"/>
    <x v="112"/>
    <x v="4"/>
    <x v="92"/>
    <x v="8"/>
    <n v="21"/>
    <n v="423232"/>
    <n v="17845454"/>
    <n v="19630"/>
    <n v="418"/>
    <x v="111"/>
    <n v="1.10000003362201E-3"/>
    <n v="2.1293937850229198E-2"/>
    <n v="21.560500000000001"/>
    <n v="1012.5167"/>
    <n v="-4.8675430969302901E-2"/>
    <n v="-20601"/>
  </r>
  <r>
    <x v="114"/>
    <x v="113"/>
    <x v="1"/>
    <x v="93"/>
    <x v="55"/>
    <n v="21"/>
    <n v="250381"/>
    <n v="427832"/>
    <n v="21905"/>
    <n v="2181"/>
    <x v="112"/>
    <n v="5.1200003739785699E-2"/>
    <n v="9.9566309061857997E-2"/>
    <n v="11.430300000000001"/>
    <n v="114.801"/>
    <n v="19.225943661859301"/>
    <n v="4813811"/>
  </r>
  <r>
    <x v="115"/>
    <x v="114"/>
    <x v="0"/>
    <x v="72"/>
    <x v="16"/>
    <n v="14"/>
    <n v="13315"/>
    <n v="100000"/>
    <n v="5140"/>
    <n v="425"/>
    <x v="113"/>
    <n v="5.1400000000000001E-2"/>
    <n v="8.2684824902723705E-2"/>
    <n v="2.5905"/>
    <n v="31.3294"/>
    <n v="92.792489673300807"/>
    <n v="1235532"/>
  </r>
  <r>
    <x v="116"/>
    <x v="115"/>
    <x v="3"/>
    <x v="46"/>
    <x v="99"/>
    <n v="45"/>
    <n v="489040"/>
    <n v="7942812"/>
    <n v="25417"/>
    <n v="648"/>
    <x v="114"/>
    <n v="3.2000002014399898E-3"/>
    <n v="2.5494747609867401E-2"/>
    <n v="19.2407"/>
    <n v="754.69140000000004"/>
    <n v="1.03532021920497"/>
    <n v="506313"/>
  </r>
  <r>
    <x v="117"/>
    <x v="76"/>
    <x v="2"/>
    <x v="36"/>
    <x v="100"/>
    <n v="10"/>
    <n v="89901"/>
    <n v="370030"/>
    <n v="12248"/>
    <n v="500"/>
    <x v="115"/>
    <n v="3.31000189173851E-2"/>
    <n v="4.0822991508817803E-2"/>
    <n v="7.3400999999999996"/>
    <n v="179.80199999999999"/>
    <n v="8.06339195337093"/>
    <n v="724907"/>
  </r>
  <r>
    <x v="118"/>
    <x v="116"/>
    <x v="2"/>
    <x v="94"/>
    <x v="101"/>
    <n v="10"/>
    <n v="233375"/>
    <n v="2030041"/>
    <n v="48518"/>
    <n v="1766"/>
    <x v="116"/>
    <n v="2.3900009901277899E-2"/>
    <n v="3.6398862277917499E-2"/>
    <n v="4.8101000000000003"/>
    <n v="132.1489"/>
    <n v="3.1726920192822701"/>
    <n v="740427"/>
  </r>
  <r>
    <x v="119"/>
    <x v="117"/>
    <x v="2"/>
    <x v="87"/>
    <x v="91"/>
    <n v="30"/>
    <n v="206780"/>
    <n v="1075563"/>
    <n v="32999.33296288261"/>
    <n v="1805"/>
    <x v="117"/>
    <n v="3.0680985644618318E-2"/>
    <n v="5.4698075322620908E-2"/>
    <n v="6.2661872660451809"/>
    <n v="114.5596"/>
    <n v="2.9039268788084001"/>
    <n v="600474"/>
  </r>
  <r>
    <x v="120"/>
    <x v="118"/>
    <x v="1"/>
    <x v="95"/>
    <x v="102"/>
    <n v="30"/>
    <n v="347980"/>
    <n v="1003804"/>
    <n v="34832"/>
    <n v="2030"/>
    <x v="118"/>
    <n v="3.4700001195452503E-2"/>
    <n v="5.8279742765273299E-2"/>
    <n v="9.9901999999999997"/>
    <n v="171.4187"/>
    <n v="44.153123742743801"/>
    <n v="15364404"/>
  </r>
  <r>
    <x v="121"/>
    <x v="119"/>
    <x v="1"/>
    <x v="96"/>
    <x v="103"/>
    <n v="7"/>
    <n v="266769"/>
    <n v="977166"/>
    <n v="41041"/>
    <n v="1961"/>
    <x v="119"/>
    <n v="4.2000028654292101E-2"/>
    <n v="4.7781486805877002E-2"/>
    <n v="6.5000999999999998"/>
    <n v="136.03720000000001"/>
    <n v="22.117127552301799"/>
    <n v="5900164"/>
  </r>
  <r>
    <x v="122"/>
    <x v="120"/>
    <x v="0"/>
    <x v="97"/>
    <x v="102"/>
    <n v="5"/>
    <n v="31826"/>
    <n v="259459"/>
    <n v="12480"/>
    <n v="1136"/>
    <x v="120"/>
    <n v="4.81000851772342E-2"/>
    <n v="9.1025641025640994E-2"/>
    <n v="2.5501999999999998"/>
    <n v="28.015799999999999"/>
    <n v="111.930999811475"/>
    <n v="3562316"/>
  </r>
  <r>
    <x v="123"/>
    <x v="121"/>
    <x v="2"/>
    <x v="64"/>
    <x v="104"/>
    <n v="14"/>
    <n v="212751"/>
    <n v="640393"/>
    <n v="27665"/>
    <n v="1416"/>
    <x v="121"/>
    <n v="4.3200034978520999E-2"/>
    <n v="5.1183806253388801E-2"/>
    <n v="7.6902999999999997"/>
    <n v="150.24789999999999"/>
    <n v="9.6768992860198093"/>
    <n v="2058770"/>
  </r>
  <r>
    <x v="124"/>
    <x v="122"/>
    <x v="0"/>
    <x v="98"/>
    <x v="105"/>
    <n v="5"/>
    <n v="56941"/>
    <n v="376789"/>
    <n v="16315"/>
    <n v="957"/>
    <x v="122"/>
    <n v="4.33000963403921E-2"/>
    <n v="5.8657676984370202E-2"/>
    <n v="3.4901"/>
    <n v="59.499499999999998"/>
    <n v="48.587221861224798"/>
    <n v="2766605"/>
  </r>
  <r>
    <x v="125"/>
    <x v="123"/>
    <x v="3"/>
    <x v="99"/>
    <x v="106"/>
    <n v="7"/>
    <n v="522740"/>
    <n v="7345652"/>
    <n v="16895"/>
    <n v="297"/>
    <x v="123"/>
    <n v="2.3000000544539799E-3"/>
    <n v="1.7579165433560199E-2"/>
    <n v="30.9405"/>
    <n v="1760.0672999999999"/>
    <n v="-0.88362474652791101"/>
    <n v="-461906"/>
  </r>
  <r>
    <x v="126"/>
    <x v="124"/>
    <x v="1"/>
    <x v="100"/>
    <x v="107"/>
    <n v="7"/>
    <n v="199118"/>
    <n v="379054"/>
    <n v="20052"/>
    <n v="1648"/>
    <x v="124"/>
    <n v="5.2900114495560001E-2"/>
    <n v="8.2186315579493296E-2"/>
    <n v="9.9300999999999995"/>
    <n v="120.824"/>
    <n v="31.055248646531201"/>
    <n v="6183659"/>
  </r>
  <r>
    <x v="127"/>
    <x v="125"/>
    <x v="2"/>
    <x v="31"/>
    <x v="77"/>
    <n v="7"/>
    <n v="75638"/>
    <n v="408087"/>
    <n v="13018"/>
    <n v="437"/>
    <x v="125"/>
    <n v="3.1900060526309303E-2"/>
    <n v="3.3568904593639599E-2"/>
    <n v="5.8102999999999998"/>
    <n v="173.0847"/>
    <n v="6.0974906792881898"/>
    <n v="461202"/>
  </r>
  <r>
    <x v="128"/>
    <x v="126"/>
    <x v="3"/>
    <x v="101"/>
    <x v="17"/>
    <n v="10"/>
    <n v="521978"/>
    <n v="6859090"/>
    <n v="15090"/>
    <n v="363"/>
    <x v="126"/>
    <n v="2.20000029158387E-3"/>
    <n v="2.4055666003976101E-2"/>
    <n v="34.591000000000001"/>
    <n v="1437.9558999999999"/>
    <n v="0.29432083344508803"/>
    <n v="153629"/>
  </r>
  <r>
    <x v="129"/>
    <x v="127"/>
    <x v="3"/>
    <x v="102"/>
    <x v="108"/>
    <n v="15"/>
    <n v="406866"/>
    <n v="4990000"/>
    <n v="12974"/>
    <n v="255"/>
    <x v="127"/>
    <n v="2.5999999999999999E-3"/>
    <n v="1.9654694003391399E-2"/>
    <n v="31.360099999999999"/>
    <n v="1595.5528999999999"/>
    <n v="0.85267631111963205"/>
    <n v="346925"/>
  </r>
  <r>
    <x v="130"/>
    <x v="28"/>
    <x v="3"/>
    <x v="38"/>
    <x v="109"/>
    <n v="5"/>
    <n v="742014"/>
    <n v="4022040"/>
    <n v="19708"/>
    <n v="252"/>
    <x v="128"/>
    <n v="4.90000099452019E-3"/>
    <n v="1.27866856099046E-2"/>
    <n v="37.650399999999998"/>
    <n v="2944.5"/>
    <n v="-0.81276498826167698"/>
    <n v="-603083"/>
  </r>
  <r>
    <x v="131"/>
    <x v="128"/>
    <x v="2"/>
    <x v="6"/>
    <x v="110"/>
    <n v="7"/>
    <n v="62416"/>
    <n v="372669"/>
    <n v="7677"/>
    <n v="361"/>
    <x v="129"/>
    <n v="2.0600049910242099E-2"/>
    <n v="4.7023576918067002E-2"/>
    <n v="8.1303000000000001"/>
    <n v="172.89750000000001"/>
    <n v="5.0043097923609299"/>
    <n v="312349"/>
  </r>
  <r>
    <x v="132"/>
    <x v="129"/>
    <x v="1"/>
    <x v="103"/>
    <x v="7"/>
    <n v="60"/>
    <n v="143478"/>
    <n v="655418"/>
    <n v="18024"/>
    <n v="834"/>
    <x v="130"/>
    <n v="2.7500007628719399E-2"/>
    <n v="4.6271637816245E-2"/>
    <n v="7.9603999999999999"/>
    <n v="172.036"/>
    <n v="9.5636961764172899"/>
    <n v="1372180"/>
  </r>
  <r>
    <x v="133"/>
    <x v="130"/>
    <x v="3"/>
    <x v="104"/>
    <x v="111"/>
    <n v="45"/>
    <n v="734269"/>
    <n v="13517878"/>
    <n v="44609"/>
    <n v="575"/>
    <x v="131"/>
    <n v="3.30000019233788E-3"/>
    <n v="1.28897756058195E-2"/>
    <n v="16.460100000000001"/>
    <n v="1276.9896000000001"/>
    <n v="-0.385200791535527"/>
    <n v="-282841"/>
  </r>
  <r>
    <x v="134"/>
    <x v="131"/>
    <x v="3"/>
    <x v="3"/>
    <x v="112"/>
    <n v="45"/>
    <n v="671778"/>
    <n v="4084230"/>
    <n v="21238"/>
    <n v="371"/>
    <x v="132"/>
    <n v="5.2000009793767704E-3"/>
    <n v="1.7468688200395498E-2"/>
    <n v="31.6309"/>
    <n v="1810.7224000000001"/>
    <n v="0.63519496023984101"/>
    <n v="426710"/>
  </r>
  <r>
    <x v="135"/>
    <x v="132"/>
    <x v="1"/>
    <x v="105"/>
    <x v="113"/>
    <n v="5"/>
    <n v="64049"/>
    <n v="128707"/>
    <n v="6770"/>
    <n v="449"/>
    <x v="133"/>
    <n v="5.2600091681105098E-2"/>
    <n v="6.6322008862629206E-2"/>
    <n v="9.4606999999999992"/>
    <n v="142.6481"/>
    <n v="10.1088697715811"/>
    <n v="647463"/>
  </r>
  <r>
    <x v="136"/>
    <x v="133"/>
    <x v="1"/>
    <x v="106"/>
    <x v="114"/>
    <n v="10"/>
    <n v="89527"/>
    <n v="250640"/>
    <n v="8221"/>
    <n v="641"/>
    <x v="134"/>
    <n v="3.2800031918289202E-2"/>
    <n v="7.7971049750638594E-2"/>
    <n v="10.89"/>
    <n v="139.6677"/>
    <n v="37.521831402817"/>
    <n v="3359217"/>
  </r>
  <r>
    <x v="137"/>
    <x v="134"/>
    <x v="0"/>
    <x v="88"/>
    <x v="115"/>
    <n v="60"/>
    <n v="59180"/>
    <n v="846176"/>
    <n v="31647"/>
    <n v="2044"/>
    <x v="135"/>
    <n v="3.7400020799455397E-2"/>
    <n v="6.4587480645874801E-2"/>
    <n v="1.87"/>
    <n v="28.952999999999999"/>
    <n v="112.275853328827"/>
    <n v="6644485"/>
  </r>
  <r>
    <x v="138"/>
    <x v="135"/>
    <x v="4"/>
    <x v="107"/>
    <x v="116"/>
    <n v="45"/>
    <n v="496969"/>
    <n v="11960666"/>
    <n v="35882"/>
    <n v="272"/>
    <x v="136"/>
    <n v="3.0000001672147699E-3"/>
    <n v="7.5804024301878402E-3"/>
    <n v="13.850099999999999"/>
    <n v="1827.0918999999999"/>
    <n v="-0.54219478478536898"/>
    <n v="-269454"/>
  </r>
  <r>
    <x v="139"/>
    <x v="136"/>
    <x v="1"/>
    <x v="108"/>
    <x v="117"/>
    <n v="5"/>
    <n v="197499"/>
    <n v="1877500"/>
    <n v="40554"/>
    <n v="4290"/>
    <x v="137"/>
    <n v="2.1600000000000001E-2"/>
    <n v="0.10578487942003301"/>
    <n v="4.87"/>
    <n v="46.037100000000002"/>
    <n v="111.94672378088001"/>
    <n v="22109366"/>
  </r>
  <r>
    <x v="140"/>
    <x v="137"/>
    <x v="1"/>
    <x v="109"/>
    <x v="118"/>
    <n v="7"/>
    <n v="60695"/>
    <n v="180499"/>
    <n v="6498"/>
    <n v="656"/>
    <x v="138"/>
    <n v="3.6000199447088398E-2"/>
    <n v="0.100954139735303"/>
    <n v="9.3406000000000002"/>
    <n v="92.522900000000007"/>
    <n v="19.499794052228399"/>
    <n v="1183540"/>
  </r>
  <r>
    <x v="141"/>
    <x v="138"/>
    <x v="2"/>
    <x v="110"/>
    <x v="43"/>
    <n v="5"/>
    <n v="240642"/>
    <n v="2585596"/>
    <n v="62830"/>
    <n v="3933"/>
    <x v="139"/>
    <n v="2.4300006652237999E-2"/>
    <n v="6.2597485277733594E-2"/>
    <n v="3.83"/>
    <n v="61.185400000000001"/>
    <n v="7.0830486781193596"/>
    <n v="1704479"/>
  </r>
  <r>
    <x v="142"/>
    <x v="139"/>
    <x v="1"/>
    <x v="8"/>
    <x v="119"/>
    <n v="5"/>
    <n v="337537"/>
    <n v="1178646.3064422051"/>
    <n v="41263"/>
    <n v="4204"/>
    <x v="140"/>
    <n v="3.5008806097695376E-2"/>
    <n v="0.101883042919807"/>
    <n v="8.1800999999999995"/>
    <n v="80.289500000000004"/>
    <n v="55.893685729268199"/>
    <n v="18866187"/>
  </r>
  <r>
    <x v="143"/>
    <x v="140"/>
    <x v="1"/>
    <x v="111"/>
    <x v="91"/>
    <n v="10"/>
    <n v="256225"/>
    <n v="1333580"/>
    <n v="30539"/>
    <n v="2375"/>
    <x v="141"/>
    <n v="2.2900013497503001E-2"/>
    <n v="7.7769409607387305E-2"/>
    <n v="8.3901000000000003"/>
    <n v="107.88420000000001"/>
    <n v="20.3295267831008"/>
    <n v="5208933"/>
  </r>
  <r>
    <x v="144"/>
    <x v="141"/>
    <x v="1"/>
    <x v="68"/>
    <x v="83"/>
    <n v="7"/>
    <n v="103621"/>
    <n v="1000000"/>
    <n v="20600"/>
    <n v="2008"/>
    <x v="142"/>
    <n v="2.06E-2"/>
    <n v="9.7475728155339794E-2"/>
    <n v="5.0301"/>
    <n v="51.604100000000003"/>
    <n v="50.293656691211197"/>
    <n v="5211479"/>
  </r>
  <r>
    <x v="145"/>
    <x v="142"/>
    <x v="3"/>
    <x v="38"/>
    <x v="42"/>
    <n v="10"/>
    <n v="457383"/>
    <n v="3308444"/>
    <n v="14888"/>
    <n v="285"/>
    <x v="2"/>
    <n v="4.5000006045137798E-3"/>
    <n v="1.9142933906501899E-2"/>
    <n v="30.721599999999999"/>
    <n v="1604.8525999999999"/>
    <m/>
    <m/>
  </r>
  <r>
    <x v="146"/>
    <x v="143"/>
    <x v="0"/>
    <x v="112"/>
    <x v="120"/>
    <n v="15"/>
    <n v="15878"/>
    <n v="75682"/>
    <n v="4102"/>
    <n v="297"/>
    <x v="143"/>
    <n v="5.4200470389260298E-2"/>
    <n v="7.2403705509507602E-2"/>
    <n v="3.8708"/>
    <n v="53.461300000000001"/>
    <n v="49.676722509132098"/>
    <n v="788767"/>
  </r>
  <r>
    <x v="147"/>
    <x v="144"/>
    <x v="1"/>
    <x v="113"/>
    <x v="55"/>
    <n v="10"/>
    <n v="230455"/>
    <n v="771011"/>
    <n v="19815"/>
    <n v="2062"/>
    <x v="144"/>
    <n v="2.5700022438071599E-2"/>
    <n v="0.104062578854403"/>
    <n v="11.6303"/>
    <n v="111.7629"/>
    <n v="36.295758391009102"/>
    <n v="8364539"/>
  </r>
  <r>
    <x v="148"/>
    <x v="145"/>
    <x v="2"/>
    <x v="97"/>
    <x v="102"/>
    <n v="5"/>
    <n v="195641"/>
    <n v="680829"/>
    <n v="27097"/>
    <n v="1081"/>
    <x v="145"/>
    <n v="3.9800008519026098E-2"/>
    <n v="3.98937151714212E-2"/>
    <n v="7.22"/>
    <n v="180.98150000000001"/>
    <n v="9.4777066156889394"/>
    <n v="1854228"/>
  </r>
  <r>
    <x v="149"/>
    <x v="146"/>
    <x v="4"/>
    <x v="83"/>
    <x v="121"/>
    <n v="14"/>
    <n v="556172"/>
    <n v="9025769"/>
    <n v="23467"/>
    <n v="537"/>
    <x v="146"/>
    <n v="2.60000006647633E-3"/>
    <n v="2.2883197681851101E-2"/>
    <n v="23.700199999999999"/>
    <n v="1035.702"/>
    <n v="-0.58684723430881103"/>
    <n v="-326388"/>
  </r>
  <r>
    <x v="150"/>
    <x v="147"/>
    <x v="1"/>
    <x v="80"/>
    <x v="122"/>
    <n v="5"/>
    <n v="113751"/>
    <n v="215138"/>
    <n v="10843"/>
    <n v="930"/>
    <x v="147"/>
    <n v="5.0400208238432997E-2"/>
    <n v="8.5769620953610598E-2"/>
    <n v="10.4907"/>
    <n v="122.3129"/>
    <n v="35.693400497577997"/>
    <n v="4060160"/>
  </r>
  <r>
    <x v="151"/>
    <x v="148"/>
    <x v="3"/>
    <x v="13"/>
    <x v="30"/>
    <n v="45"/>
    <n v="710524"/>
    <n v="10915263"/>
    <n v="41478"/>
    <n v="1074"/>
    <x v="148"/>
    <n v="3.8000000549689001E-3"/>
    <n v="2.58932446116013E-2"/>
    <n v="17.130099999999999"/>
    <n v="661.56799999999998"/>
    <n v="1.15107160349263"/>
    <n v="817864"/>
  </r>
  <r>
    <x v="152"/>
    <x v="149"/>
    <x v="1"/>
    <x v="40"/>
    <x v="123"/>
    <n v="45"/>
    <n v="173554"/>
    <n v="983793"/>
    <n v="19971"/>
    <n v="1413"/>
    <x v="149"/>
    <n v="2.0300002134595398E-2"/>
    <n v="7.0752591257323097E-2"/>
    <n v="8.6903000000000006"/>
    <n v="122.8266"/>
    <n v="24.0149405948581"/>
    <n v="4167889"/>
  </r>
  <r>
    <x v="153"/>
    <x v="150"/>
    <x v="0"/>
    <x v="21"/>
    <x v="13"/>
    <n v="60"/>
    <n v="59612"/>
    <n v="556235"/>
    <n v="23195"/>
    <n v="1653"/>
    <x v="150"/>
    <n v="4.1700000898900601E-2"/>
    <n v="7.1265358913558993E-2"/>
    <n v="2.57"/>
    <n v="36.062899999999999"/>
    <n v="27.132020398577499"/>
    <n v="1617394"/>
  </r>
  <r>
    <x v="154"/>
    <x v="151"/>
    <x v="0"/>
    <x v="76"/>
    <x v="15"/>
    <n v="60"/>
    <n v="21141"/>
    <n v="312320"/>
    <n v="18708"/>
    <n v="1051"/>
    <x v="151"/>
    <n v="5.9900102459016398E-2"/>
    <n v="5.6179174684626902E-2"/>
    <n v="1.1301000000000001"/>
    <n v="20.115100000000002"/>
    <n v="65.593917033252893"/>
    <n v="1386721"/>
  </r>
  <r>
    <x v="155"/>
    <x v="152"/>
    <x v="0"/>
    <x v="114"/>
    <x v="124"/>
    <n v="5"/>
    <n v="23385"/>
    <n v="355408"/>
    <n v="9134"/>
    <n v="295"/>
    <x v="152"/>
    <n v="2.5700040516814501E-2"/>
    <n v="3.22969126341143E-2"/>
    <n v="2.5602"/>
    <n v="79.271199999999993"/>
    <n v="61.494077400042798"/>
    <n v="1438039"/>
  </r>
  <r>
    <x v="156"/>
    <x v="153"/>
    <x v="0"/>
    <x v="115"/>
    <x v="125"/>
    <n v="45"/>
    <n v="58662"/>
    <n v="700270"/>
    <n v="20728"/>
    <n v="1846"/>
    <x v="153"/>
    <n v="2.9600011424165001E-2"/>
    <n v="8.90582786568892E-2"/>
    <n v="2.8300999999999998"/>
    <n v="31.777899999999999"/>
    <n v="71.085268146329796"/>
    <n v="4170004"/>
  </r>
  <r>
    <x v="157"/>
    <x v="154"/>
    <x v="2"/>
    <x v="116"/>
    <x v="16"/>
    <n v="60"/>
    <n v="209961"/>
    <n v="841336"/>
    <n v="36514"/>
    <n v="2723"/>
    <x v="154"/>
    <n v="4.3400020919109598E-2"/>
    <n v="7.4574135947855599E-2"/>
    <n v="5.7502000000000004"/>
    <n v="77.106499999999997"/>
    <n v="16.123451498135399"/>
    <n v="3385296"/>
  </r>
  <r>
    <x v="158"/>
    <x v="155"/>
    <x v="4"/>
    <x v="63"/>
    <x v="126"/>
    <n v="15"/>
    <n v="741896"/>
    <n v="63257500"/>
    <n v="50606"/>
    <n v="1184"/>
    <x v="155"/>
    <n v="8.0000000000000004E-4"/>
    <n v="2.3396435205311601E-2"/>
    <n v="14.6602"/>
    <n v="626.60140000000001"/>
    <n v="1.1865841034322899"/>
    <n v="880322"/>
  </r>
  <r>
    <x v="159"/>
    <x v="156"/>
    <x v="4"/>
    <x v="117"/>
    <x v="70"/>
    <n v="14"/>
    <n v="190508"/>
    <n v="1738684"/>
    <n v="6607"/>
    <n v="40"/>
    <x v="156"/>
    <n v="3.8000004601181098E-3"/>
    <n v="6.0541849553503897E-3"/>
    <n v="28.834299999999999"/>
    <n v="4762.7"/>
    <n v="-0.43275872929220799"/>
    <n v="-82444"/>
  </r>
  <r>
    <x v="160"/>
    <x v="157"/>
    <x v="3"/>
    <x v="86"/>
    <x v="127"/>
    <n v="45"/>
    <n v="255965"/>
    <n v="2863750"/>
    <n v="13746"/>
    <n v="395"/>
    <x v="157"/>
    <n v="4.7999999999999996E-3"/>
    <n v="2.8735632183908E-2"/>
    <n v="18.621099999999998"/>
    <n v="648.0127"/>
    <n v="4.4972672045006199"/>
    <n v="1151143"/>
  </r>
  <r>
    <x v="161"/>
    <x v="158"/>
    <x v="1"/>
    <x v="34"/>
    <x v="128"/>
    <n v="45"/>
    <n v="234871"/>
    <n v="1594938"/>
    <n v="38757"/>
    <n v="3042"/>
    <x v="158"/>
    <n v="2.4300004138091899E-2"/>
    <n v="7.8489047139871496E-2"/>
    <n v="6.0601000000000003"/>
    <n v="77.209400000000002"/>
    <n v="25.5799055651826"/>
    <n v="6007978"/>
  </r>
  <r>
    <x v="162"/>
    <x v="159"/>
    <x v="3"/>
    <x v="27"/>
    <x v="129"/>
    <n v="10"/>
    <n v="231565"/>
    <n v="1139245"/>
    <n v="6038"/>
    <n v="167"/>
    <x v="159"/>
    <n v="5.30000131666147E-3"/>
    <n v="2.7658164955283199E-2"/>
    <n v="38.351300000000002"/>
    <n v="1386.6168"/>
    <n v="-0.18955800747090401"/>
    <n v="-43895"/>
  </r>
  <r>
    <x v="163"/>
    <x v="160"/>
    <x v="0"/>
    <x v="34"/>
    <x v="25"/>
    <n v="21"/>
    <n v="58940"/>
    <n v="1195517"/>
    <n v="34670"/>
    <n v="1927"/>
    <x v="160"/>
    <n v="2.90000058552074E-2"/>
    <n v="5.5581194115950402E-2"/>
    <n v="1.7"/>
    <n v="30.586400000000001"/>
    <n v="46.195402103834397"/>
    <n v="2722757"/>
  </r>
  <r>
    <x v="164"/>
    <x v="161"/>
    <x v="3"/>
    <x v="10"/>
    <x v="130"/>
    <n v="15"/>
    <n v="581784"/>
    <n v="24982727"/>
    <n v="27481"/>
    <n v="588"/>
    <x v="161"/>
    <n v="1.1000000120083E-3"/>
    <n v="2.13966012881627E-2"/>
    <n v="21.170400000000001"/>
    <n v="989.42859999999996"/>
    <n v="-0.43236837039176002"/>
    <n v="-251545"/>
  </r>
  <r>
    <x v="165"/>
    <x v="162"/>
    <x v="4"/>
    <x v="118"/>
    <x v="101"/>
    <n v="7"/>
    <n v="688399"/>
    <n v="17165277"/>
    <n v="61795"/>
    <n v="1137"/>
    <x v="162"/>
    <n v="3.60000016312E-3"/>
    <n v="1.8399546888906899E-2"/>
    <n v="11.14"/>
    <n v="605.45209999999997"/>
    <n v="0.46962880538757301"/>
    <n v="323292"/>
  </r>
  <r>
    <x v="166"/>
    <x v="163"/>
    <x v="3"/>
    <x v="119"/>
    <x v="65"/>
    <n v="21"/>
    <n v="424226"/>
    <n v="1896071"/>
    <n v="10618"/>
    <n v="127"/>
    <x v="163"/>
    <n v="5.6000012657753803E-3"/>
    <n v="1.19608212469392E-2"/>
    <n v="39.953499999999998"/>
    <n v="3340.3622"/>
    <n v="-0.75764333162040998"/>
    <n v="-321412"/>
  </r>
  <r>
    <x v="167"/>
    <x v="164"/>
    <x v="4"/>
    <x v="26"/>
    <x v="131"/>
    <n v="5"/>
    <n v="682458"/>
    <n v="40574000"/>
    <n v="40574"/>
    <n v="202"/>
    <x v="164"/>
    <n v="1E-3"/>
    <n v="4.9785576970473701E-3"/>
    <n v="16.8201"/>
    <n v="3378.5050000000001"/>
    <n v="-0.65368711334616902"/>
    <n v="-446114"/>
  </r>
  <r>
    <x v="168"/>
    <x v="165"/>
    <x v="2"/>
    <x v="120"/>
    <x v="132"/>
    <n v="10"/>
    <n v="246084"/>
    <n v="1583044"/>
    <n v="60314"/>
    <n v="3781"/>
    <x v="165"/>
    <n v="3.8100014907987402E-2"/>
    <n v="6.2688596345790396E-2"/>
    <n v="4.08"/>
    <n v="65.084400000000002"/>
    <n v="28.641191625623801"/>
    <n v="7048139"/>
  </r>
  <r>
    <x v="169"/>
    <x v="166"/>
    <x v="0"/>
    <x v="121"/>
    <x v="133"/>
    <n v="15"/>
    <n v="18502"/>
    <n v="271095"/>
    <n v="13121"/>
    <n v="970"/>
    <x v="166"/>
    <n v="4.8400007377487599E-2"/>
    <n v="7.39272921271244E-2"/>
    <n v="1.4100999999999999"/>
    <n v="19.074200000000001"/>
    <n v="123.932385688034"/>
    <n v="2292997"/>
  </r>
  <r>
    <x v="170"/>
    <x v="167"/>
    <x v="3"/>
    <x v="122"/>
    <x v="134"/>
    <n v="5"/>
    <n v="514528"/>
    <n v="4232115"/>
    <n v="22007"/>
    <n v="600"/>
    <x v="167"/>
    <n v="5.2000004725769504E-3"/>
    <n v="2.72640523469805E-2"/>
    <n v="23.380199999999999"/>
    <n v="857.54669999999999"/>
    <n v="0.126537331301698"/>
    <n v="65107"/>
  </r>
  <r>
    <x v="171"/>
    <x v="168"/>
    <x v="2"/>
    <x v="123"/>
    <x v="96"/>
    <n v="21"/>
    <n v="67857"/>
    <n v="292267"/>
    <n v="9411"/>
    <n v="672"/>
    <x v="168"/>
    <n v="3.2200008895975303E-2"/>
    <n v="7.1405801721389897E-2"/>
    <n v="7.2103999999999999"/>
    <n v="100.9777"/>
    <n v="26.2272573205417"/>
    <n v="1779703"/>
  </r>
  <r>
    <x v="172"/>
    <x v="169"/>
    <x v="2"/>
    <x v="124"/>
    <x v="126"/>
    <n v="14"/>
    <n v="229242"/>
    <n v="1194393"/>
    <n v="31532"/>
    <n v="2052"/>
    <x v="169"/>
    <n v="2.6400020763685E-2"/>
    <n v="6.5076747431180998E-2"/>
    <n v="7.2701000000000002"/>
    <n v="111.71639999999999"/>
    <n v="3.1617417401697798"/>
    <n v="724804"/>
  </r>
  <r>
    <x v="173"/>
    <x v="170"/>
    <x v="1"/>
    <x v="125"/>
    <x v="135"/>
    <n v="60"/>
    <n v="50846"/>
    <n v="369913"/>
    <n v="8545"/>
    <n v="764"/>
    <x v="170"/>
    <n v="2.3100026222382001E-2"/>
    <n v="8.9409011117612597E-2"/>
    <n v="5.9504000000000001"/>
    <n v="66.552400000000006"/>
    <n v="18.686996027219401"/>
    <n v="950159"/>
  </r>
  <r>
    <x v="174"/>
    <x v="143"/>
    <x v="4"/>
    <x v="15"/>
    <x v="136"/>
    <n v="14"/>
    <n v="168546"/>
    <n v="2333333"/>
    <n v="6300"/>
    <n v="90"/>
    <x v="171"/>
    <n v="2.70000038571434E-3"/>
    <n v="1.4285714285714299E-2"/>
    <n v="26.753299999999999"/>
    <n v="1872.7333000000001"/>
    <n v="-0.57721334235164301"/>
    <n v="-97287"/>
  </r>
  <r>
    <x v="175"/>
    <x v="171"/>
    <x v="2"/>
    <x v="126"/>
    <x v="60"/>
    <n v="45"/>
    <n v="156270"/>
    <n v="1128032"/>
    <n v="20643"/>
    <n v="563"/>
    <x v="172"/>
    <n v="1.83000127655953E-2"/>
    <n v="2.7273167659739399E-2"/>
    <n v="7.5701000000000001"/>
    <n v="277.56659999999999"/>
    <n v="4.2308184552377304"/>
    <n v="661150"/>
  </r>
  <r>
    <x v="176"/>
    <x v="172"/>
    <x v="1"/>
    <x v="127"/>
    <x v="137"/>
    <n v="10"/>
    <n v="243814"/>
    <n v="624205"/>
    <n v="25530"/>
    <n v="2251"/>
    <x v="173"/>
    <n v="4.09000248315858E-2"/>
    <n v="8.8170779475127303E-2"/>
    <n v="9.5501000000000005"/>
    <n v="108.31359999999999"/>
    <n v="8.0626994348150607"/>
    <n v="1965799"/>
  </r>
  <r>
    <x v="177"/>
    <x v="173"/>
    <x v="2"/>
    <x v="87"/>
    <x v="138"/>
    <n v="21"/>
    <n v="245994"/>
    <n v="707672"/>
    <n v="27670"/>
    <n v="2069"/>
    <x v="174"/>
    <n v="3.9100035044483901E-2"/>
    <n v="7.4774123599566297E-2"/>
    <n v="8.8902999999999999"/>
    <n v="118.8951"/>
    <n v="17.023130645462899"/>
    <n v="4187588"/>
  </r>
  <r>
    <x v="178"/>
    <x v="174"/>
    <x v="3"/>
    <x v="71"/>
    <x v="74"/>
    <n v="5"/>
    <n v="264321"/>
    <n v="7191538"/>
    <n v="9349"/>
    <n v="174"/>
    <x v="175"/>
    <n v="1.30000008343139E-3"/>
    <n v="1.8611616215638001E-2"/>
    <n v="28.272600000000001"/>
    <n v="1519.0862"/>
    <n v="0.68255265378081997"/>
    <n v="180413"/>
  </r>
  <r>
    <x v="179"/>
    <x v="175"/>
    <x v="3"/>
    <x v="128"/>
    <x v="139"/>
    <n v="45"/>
    <n v="192222"/>
    <n v="2885476"/>
    <n v="12119"/>
    <n v="185"/>
    <x v="176"/>
    <n v="4.2000002772506198E-3"/>
    <n v="1.52652859146794E-2"/>
    <n v="15.8612"/>
    <n v="1039.0378000000001"/>
    <n v="2.0152167805974299"/>
    <n v="387369"/>
  </r>
  <r>
    <x v="180"/>
    <x v="176"/>
    <x v="2"/>
    <x v="129"/>
    <x v="140"/>
    <n v="7"/>
    <n v="28582"/>
    <n v="117310"/>
    <n v="5103"/>
    <n v="190"/>
    <x v="177"/>
    <n v="4.3500127866337099E-2"/>
    <n v="3.7233000195963199E-2"/>
    <n v="5.601"/>
    <n v="150.4316"/>
    <n v="3.3825484570708801"/>
    <n v="96680"/>
  </r>
  <r>
    <x v="181"/>
    <x v="177"/>
    <x v="2"/>
    <x v="94"/>
    <x v="141"/>
    <n v="60"/>
    <n v="140337"/>
    <n v="1985343"/>
    <n v="37523"/>
    <n v="1410"/>
    <x v="178"/>
    <n v="1.8900008713859499E-2"/>
    <n v="3.7576952802281301E-2"/>
    <n v="3.74"/>
    <n v="99.529799999999994"/>
    <n v="31.491032300818699"/>
    <n v="4419357"/>
  </r>
  <r>
    <x v="182"/>
    <x v="178"/>
    <x v="1"/>
    <x v="130"/>
    <x v="142"/>
    <n v="45"/>
    <n v="156190"/>
    <n v="628777"/>
    <n v="16977"/>
    <n v="1643"/>
    <x v="179"/>
    <n v="2.7000033398168199E-2"/>
    <n v="9.6777993756258507E-2"/>
    <n v="9.2001000000000008"/>
    <n v="95.063900000000004"/>
    <n v="65.966905691785598"/>
    <n v="10303371"/>
  </r>
  <r>
    <x v="183"/>
    <x v="179"/>
    <x v="2"/>
    <x v="131"/>
    <x v="4"/>
    <n v="21"/>
    <n v="74493"/>
    <n v="463094"/>
    <n v="12272"/>
    <n v="676"/>
    <x v="180"/>
    <n v="2.6500019434499301E-2"/>
    <n v="5.5084745762711898E-2"/>
    <n v="6.0701999999999998"/>
    <n v="110.19670000000001"/>
    <n v="5.1783657524868101"/>
    <n v="385752"/>
  </r>
  <r>
    <x v="184"/>
    <x v="180"/>
    <x v="0"/>
    <x v="132"/>
    <x v="143"/>
    <n v="15"/>
    <n v="19165"/>
    <n v="194999"/>
    <n v="10140"/>
    <n v="416"/>
    <x v="181"/>
    <n v="5.2000266668034201E-2"/>
    <n v="4.1025641025640998E-2"/>
    <n v="1.89"/>
    <n v="46.069699999999997"/>
    <n v="28.965353509000799"/>
    <n v="555121"/>
  </r>
  <r>
    <x v="185"/>
    <x v="181"/>
    <x v="0"/>
    <x v="133"/>
    <x v="144"/>
    <n v="45"/>
    <n v="53196"/>
    <n v="374259"/>
    <n v="16168"/>
    <n v="1605"/>
    <x v="182"/>
    <n v="4.32000299258E-2"/>
    <n v="9.92701632855022E-2"/>
    <n v="3.2902"/>
    <n v="33.143900000000002"/>
    <n v="98.659786450108996"/>
    <n v="5248306"/>
  </r>
  <r>
    <x v="186"/>
    <x v="182"/>
    <x v="1"/>
    <x v="122"/>
    <x v="145"/>
    <n v="15"/>
    <n v="89834"/>
    <n v="197043"/>
    <n v="9064"/>
    <n v="913"/>
    <x v="183"/>
    <n v="4.6000111650756403E-2"/>
    <n v="0.100728155339806"/>
    <n v="9.9110999999999994"/>
    <n v="98.394300000000001"/>
    <n v="35.655152837455802"/>
    <n v="3203045"/>
  </r>
  <r>
    <x v="187"/>
    <x v="183"/>
    <x v="2"/>
    <x v="107"/>
    <x v="146"/>
    <n v="60"/>
    <n v="155517"/>
    <n v="645223"/>
    <n v="28906"/>
    <n v="838"/>
    <x v="184"/>
    <n v="4.4800014878576898E-2"/>
    <n v="2.8990520999100499E-2"/>
    <n v="5.3800999999999997"/>
    <n v="185.58109999999999"/>
    <n v="15.715677385752"/>
    <n v="2444055"/>
  </r>
  <r>
    <x v="188"/>
    <x v="184"/>
    <x v="2"/>
    <x v="134"/>
    <x v="147"/>
    <n v="21"/>
    <n v="117524"/>
    <n v="694258"/>
    <n v="22008"/>
    <n v="948"/>
    <x v="185"/>
    <n v="3.17000308242757E-2"/>
    <n v="4.3075245365321702E-2"/>
    <n v="5.3400999999999996"/>
    <n v="123.9705"/>
    <n v="8.8412579558217903"/>
    <n v="1039060"/>
  </r>
  <r>
    <x v="189"/>
    <x v="185"/>
    <x v="0"/>
    <x v="135"/>
    <x v="9"/>
    <n v="60"/>
    <n v="57622"/>
    <n v="893458"/>
    <n v="40295"/>
    <n v="2848"/>
    <x v="186"/>
    <n v="4.5100049470708198E-2"/>
    <n v="7.0678744261074594E-2"/>
    <n v="1.43"/>
    <n v="20.232399999999998"/>
    <n v="91.447815070632799"/>
    <n v="5269406"/>
  </r>
  <r>
    <x v="190"/>
    <x v="186"/>
    <x v="2"/>
    <x v="136"/>
    <x v="148"/>
    <n v="30"/>
    <n v="31704"/>
    <n v="302978"/>
    <n v="9665"/>
    <n v="481"/>
    <x v="187"/>
    <n v="3.1900005941025399E-2"/>
    <n v="4.9767201241593402E-2"/>
    <n v="3.2803"/>
    <n v="65.912700000000001"/>
    <n v="72.293874589957099"/>
    <n v="2292005"/>
  </r>
  <r>
    <x v="191"/>
    <x v="187"/>
    <x v="0"/>
    <x v="137"/>
    <x v="92"/>
    <n v="21"/>
    <n v="43975"/>
    <n v="354841"/>
    <n v="14513"/>
    <n v="445"/>
    <x v="188"/>
    <n v="4.0900008736307197E-2"/>
    <n v="3.0662164955557101E-2"/>
    <n v="3.03"/>
    <n v="98.8202"/>
    <n v="5.1095622512791401"/>
    <n v="224693"/>
  </r>
  <r>
    <x v="192"/>
    <x v="188"/>
    <x v="3"/>
    <x v="138"/>
    <x v="149"/>
    <n v="30"/>
    <n v="571150"/>
    <n v="5357804"/>
    <n v="21967"/>
    <n v="80.399232560452859"/>
    <x v="189"/>
    <n v="4.1000006719170796E-3"/>
    <n v="3.6600005717873562E-3"/>
    <n v="26.000399999999999"/>
    <n v="7103.923530246977"/>
    <n v="1.2002836382736599"/>
    <n v="685542"/>
  </r>
  <r>
    <x v="193"/>
    <x v="189"/>
    <x v="0"/>
    <x v="139"/>
    <x v="150"/>
    <n v="7"/>
    <n v="38593"/>
    <n v="525500"/>
    <n v="25224"/>
    <n v="1276"/>
    <x v="190"/>
    <n v="4.8000000000000001E-2"/>
    <n v="5.0586742784649502E-2"/>
    <n v="1.53"/>
    <n v="30.2453"/>
    <n v="145.83442593216401"/>
    <n v="5628188"/>
  </r>
  <r>
    <x v="194"/>
    <x v="188"/>
    <x v="1"/>
    <x v="140"/>
    <x v="150"/>
    <n v="60"/>
    <n v="304706"/>
    <n v="794389"/>
    <n v="27327"/>
    <n v="1224"/>
    <x v="191"/>
    <n v="3.4400023162455703E-2"/>
    <n v="4.4790866176309098E-2"/>
    <n v="11.150399999999999"/>
    <n v="248.94280000000001"/>
    <n v="23.052818126325"/>
    <n v="7024332"/>
  </r>
  <r>
    <x v="195"/>
    <x v="190"/>
    <x v="0"/>
    <x v="141"/>
    <x v="64"/>
    <n v="5"/>
    <n v="51572"/>
    <n v="669243"/>
    <n v="16798"/>
    <n v="861"/>
    <x v="192"/>
    <n v="2.5100001045957901E-2"/>
    <n v="5.1256101916894899E-2"/>
    <n v="3.0701000000000001"/>
    <n v="59.897799999999997"/>
    <n v="25.997072054603301"/>
    <n v="1340721"/>
  </r>
  <r>
    <x v="196"/>
    <x v="191"/>
    <x v="0"/>
    <x v="142"/>
    <x v="151"/>
    <n v="60"/>
    <n v="22433"/>
    <n v="110373"/>
    <n v="6214"/>
    <n v="410"/>
    <x v="193"/>
    <n v="5.63000009060187E-2"/>
    <n v="6.5980045059542997E-2"/>
    <n v="3.6101000000000001"/>
    <n v="54.714599999999997"/>
    <n v="34.960950385592703"/>
    <n v="784279"/>
  </r>
  <r>
    <x v="197"/>
    <x v="192"/>
    <x v="1"/>
    <x v="32"/>
    <x v="152"/>
    <n v="60"/>
    <n v="55222"/>
    <n v="442461"/>
    <n v="11504"/>
    <n v="941"/>
    <x v="194"/>
    <n v="2.6000031641206799E-2"/>
    <n v="8.1797635605006996E-2"/>
    <n v="4.8002000000000002"/>
    <n v="58.684399999999997"/>
    <n v="86.774347180471594"/>
    <n v="4791853"/>
  </r>
  <r>
    <x v="198"/>
    <x v="193"/>
    <x v="1"/>
    <x v="81"/>
    <x v="153"/>
    <n v="21"/>
    <n v="164918"/>
    <n v="932277"/>
    <n v="24146"/>
    <n v="1480"/>
    <x v="195"/>
    <n v="2.5900027566914102E-2"/>
    <n v="6.1293796073883897E-2"/>
    <n v="6.83"/>
    <n v="111.4311"/>
    <n v="18.688887810912099"/>
    <n v="3082134"/>
  </r>
  <r>
    <x v="199"/>
    <x v="194"/>
    <x v="2"/>
    <x v="105"/>
    <x v="154"/>
    <n v="30"/>
    <n v="39333"/>
    <n v="338438"/>
    <n v="9104"/>
    <n v="599"/>
    <x v="196"/>
    <n v="2.6900052594566799E-2"/>
    <n v="6.5795254833040398E-2"/>
    <n v="4.3204000000000002"/>
    <n v="65.664400000000001"/>
    <n v="10.9871100602547"/>
    <n v="432156"/>
  </r>
  <r>
    <x v="200"/>
    <x v="195"/>
    <x v="2"/>
    <x v="143"/>
    <x v="155"/>
    <n v="10"/>
    <n v="26615"/>
    <n v="80303"/>
    <n v="3172"/>
    <n v="121"/>
    <x v="197"/>
    <n v="3.9500392264299002E-2"/>
    <n v="3.8146279949558597E-2"/>
    <n v="8.3905999999999992"/>
    <n v="219.95869999999999"/>
    <n v="13.055194439226"/>
    <n v="347464"/>
  </r>
  <r>
    <x v="201"/>
    <x v="196"/>
    <x v="1"/>
    <x v="50"/>
    <x v="37"/>
    <n v="14"/>
    <n v="202087"/>
    <n v="625968"/>
    <n v="28106"/>
    <n v="1174"/>
    <x v="198"/>
    <n v="4.4900058788947698E-2"/>
    <n v="4.1770440475343298E-2"/>
    <n v="7.1901999999999999"/>
    <n v="172.1354"/>
    <n v="3.4837025637473"/>
    <n v="704011"/>
  </r>
  <r>
    <x v="202"/>
    <x v="197"/>
    <x v="1"/>
    <x v="144"/>
    <x v="126"/>
    <n v="7"/>
    <n v="319838"/>
    <n v="916823"/>
    <n v="29155"/>
    <n v="2685"/>
    <x v="199"/>
    <n v="3.1800031194679897E-2"/>
    <n v="9.2093980449322599E-2"/>
    <n v="10.9703"/>
    <n v="119.1203"/>
    <n v="12.9982584933623"/>
    <n v="4157337"/>
  </r>
  <r>
    <x v="203"/>
    <x v="198"/>
    <x v="2"/>
    <x v="114"/>
    <x v="74"/>
    <n v="15"/>
    <n v="87173"/>
    <n v="664017"/>
    <n v="15538"/>
    <n v="334"/>
    <x v="200"/>
    <n v="2.3400003313168199E-2"/>
    <n v="2.1495687990732398E-2"/>
    <n v="5.6102999999999996"/>
    <n v="260.99700000000001"/>
    <n v="0.64125359916487901"/>
    <n v="55900"/>
  </r>
  <r>
    <x v="204"/>
    <x v="161"/>
    <x v="0"/>
    <x v="85"/>
    <x v="156"/>
    <n v="14"/>
    <n v="29111"/>
    <n v="280934"/>
    <n v="14131"/>
    <n v="796"/>
    <x v="201"/>
    <n v="5.0300070479187303E-2"/>
    <n v="5.6330054490128102E-2"/>
    <n v="2.0600999999999998"/>
    <n v="36.571599999999997"/>
    <n v="97.392600735117298"/>
    <n v="2835196"/>
  </r>
  <r>
    <x v="205"/>
    <x v="199"/>
    <x v="2"/>
    <x v="145"/>
    <x v="84"/>
    <n v="45"/>
    <n v="210197"/>
    <n v="710668"/>
    <n v="23381"/>
    <n v="1084"/>
    <x v="202"/>
    <n v="3.2900032082491398E-2"/>
    <n v="4.6362431033745398E-2"/>
    <n v="8.9901"/>
    <n v="193.90870000000001"/>
    <n v="13.7713763754954"/>
    <n v="2894702"/>
  </r>
  <r>
    <x v="206"/>
    <x v="200"/>
    <x v="3"/>
    <x v="146"/>
    <x v="157"/>
    <n v="7"/>
    <n v="245912"/>
    <n v="3587500"/>
    <n v="8610"/>
    <n v="218"/>
    <x v="203"/>
    <n v="2.3999999999999998E-3"/>
    <n v="2.53193960511034E-2"/>
    <n v="28.561199999999999"/>
    <n v="1128.0367000000001"/>
    <n v="-0.41915400631120098"/>
    <n v="-103075"/>
  </r>
  <r>
    <x v="207"/>
    <x v="201"/>
    <x v="2"/>
    <x v="147"/>
    <x v="158"/>
    <n v="7"/>
    <n v="228459"/>
    <n v="1145121"/>
    <n v="28170"/>
    <n v="1684"/>
    <x v="204"/>
    <n v="2.4600020434521801E-2"/>
    <n v="5.9779907703230398E-2"/>
    <n v="8.11"/>
    <n v="135.6645"/>
    <n v="4.0020047360795603"/>
    <n v="914294"/>
  </r>
  <r>
    <x v="208"/>
    <x v="202"/>
    <x v="2"/>
    <x v="139"/>
    <x v="150"/>
    <n v="7"/>
    <n v="48052"/>
    <n v="586223"/>
    <n v="11021"/>
    <n v="694"/>
    <x v="205"/>
    <n v="1.8800012964349699E-2"/>
    <n v="6.2970692314672005E-2"/>
    <n v="4.3600000000000003"/>
    <n v="69.239199999999997"/>
    <n v="26.728023807541799"/>
    <n v="1284335"/>
  </r>
  <r>
    <x v="209"/>
    <x v="203"/>
    <x v="4"/>
    <x v="148"/>
    <x v="159"/>
    <n v="10"/>
    <n v="534388"/>
    <n v="8090357"/>
    <n v="22653"/>
    <n v="271"/>
    <x v="206"/>
    <n v="2.8000000494415801E-3"/>
    <n v="1.19630953957533E-2"/>
    <n v="23.590199999999999"/>
    <n v="1971.9114"/>
    <n v="-0.76403848888822401"/>
    <n v="-408293"/>
  </r>
  <r>
    <x v="210"/>
    <x v="204"/>
    <x v="0"/>
    <x v="149"/>
    <x v="160"/>
    <n v="7"/>
    <n v="24102"/>
    <n v="313760"/>
    <n v="17853"/>
    <n v="1453"/>
    <x v="207"/>
    <n v="5.69001784803672E-2"/>
    <n v="8.1386881756567497E-2"/>
    <n v="1.35"/>
    <n v="16.587700000000002"/>
    <n v="436.47838353663599"/>
    <n v="10520002"/>
  </r>
  <r>
    <x v="211"/>
    <x v="205"/>
    <x v="0"/>
    <x v="36"/>
    <x v="153"/>
    <n v="15"/>
    <n v="29952"/>
    <n v="210609"/>
    <n v="9330"/>
    <n v="691"/>
    <x v="208"/>
    <n v="4.4300101135279102E-2"/>
    <n v="7.4062165058949594E-2"/>
    <n v="3.2103000000000002"/>
    <n v="43.3459"/>
    <n v="50.653145032051299"/>
    <n v="1517163"/>
  </r>
  <r>
    <x v="212"/>
    <x v="206"/>
    <x v="4"/>
    <x v="53"/>
    <x v="86"/>
    <n v="21"/>
    <n v="267306"/>
    <n v="3129687"/>
    <n v="10015"/>
    <n v="107"/>
    <x v="209"/>
    <n v="3.2000005112332299E-3"/>
    <n v="1.0683974038941601E-2"/>
    <n v="26.6906"/>
    <n v="2498.1869000000002"/>
    <n v="-0.77268748176247404"/>
    <n v="-206544"/>
  </r>
  <r>
    <x v="213"/>
    <x v="207"/>
    <x v="1"/>
    <x v="63"/>
    <x v="161"/>
    <n v="5"/>
    <n v="150173"/>
    <n v="457757"/>
    <n v="14694"/>
    <n v="1661"/>
    <x v="210"/>
    <n v="3.2100000655369602E-2"/>
    <n v="0.113039335783313"/>
    <n v="10.220000000000001"/>
    <n v="90.411199999999994"/>
    <n v="54.709448436137002"/>
    <n v="8215882"/>
  </r>
  <r>
    <x v="214"/>
    <x v="208"/>
    <x v="1"/>
    <x v="150"/>
    <x v="69"/>
    <n v="21"/>
    <n v="272027"/>
    <n v="537963"/>
    <n v="23778"/>
    <n v="2356"/>
    <x v="211"/>
    <n v="4.4200065803782003E-2"/>
    <n v="9.9083186138447299E-2"/>
    <n v="11.440300000000001"/>
    <n v="115.4614"/>
    <n v="56.964308689946201"/>
    <n v="15495830"/>
  </r>
  <r>
    <x v="215"/>
    <x v="209"/>
    <x v="1"/>
    <x v="39"/>
    <x v="11"/>
    <n v="10"/>
    <n v="139245"/>
    <n v="717713"/>
    <n v="32010"/>
    <n v="3345"/>
    <x v="212"/>
    <n v="4.4600000278662899E-2"/>
    <n v="0.10449859418931599"/>
    <n v="4.3499999999999996"/>
    <n v="41.627800000000001"/>
    <n v="30.010521024094199"/>
    <n v="4178815"/>
  </r>
  <r>
    <x v="216"/>
    <x v="210"/>
    <x v="2"/>
    <x v="151"/>
    <x v="162"/>
    <n v="5"/>
    <n v="118801"/>
    <n v="1313820"/>
    <n v="23386"/>
    <n v="1361"/>
    <x v="213"/>
    <n v="1.7800003044557099E-2"/>
    <n v="5.81972120071838E-2"/>
    <n v="5.08"/>
    <n v="87.289500000000004"/>
    <n v="8.9615743975219093"/>
    <n v="1064644"/>
  </r>
  <r>
    <x v="217"/>
    <x v="211"/>
    <x v="2"/>
    <x v="125"/>
    <x v="163"/>
    <n v="45"/>
    <n v="193010"/>
    <n v="1573791"/>
    <n v="37771"/>
    <n v="2761"/>
    <x v="214"/>
    <n v="2.4000010166534198E-2"/>
    <n v="7.3098408832172806E-2"/>
    <n v="5.1100000000000003"/>
    <n v="69.905799999999999"/>
    <n v="21.1910678203202"/>
    <n v="4090088"/>
  </r>
  <r>
    <x v="218"/>
    <x v="212"/>
    <x v="0"/>
    <x v="152"/>
    <x v="164"/>
    <n v="10"/>
    <n v="15144"/>
    <n v="131581"/>
    <n v="5408"/>
    <n v="452"/>
    <x v="215"/>
    <n v="4.1100158837522098E-2"/>
    <n v="8.3579881656804703E-2"/>
    <n v="2.8003"/>
    <n v="33.504399999999997"/>
    <n v="40.525752773375601"/>
    <n v="613722"/>
  </r>
  <r>
    <x v="219"/>
    <x v="213"/>
    <x v="2"/>
    <x v="42"/>
    <x v="165"/>
    <n v="5"/>
    <n v="104666"/>
    <n v="695527"/>
    <n v="25039"/>
    <n v="1174"/>
    <x v="216"/>
    <n v="3.60000402572438E-2"/>
    <n v="4.6886856503853998E-2"/>
    <n v="4.1801000000000004"/>
    <n v="89.153300000000002"/>
    <n v="8.1077427244759495"/>
    <n v="8486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346F7-F7CE-4963-87C2-2F9561F7AEB2}" name="Group_Data_By_Chann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Channel">
  <location ref="K3:W9" firstHeaderRow="0" firstDataRow="1" firstDataCol="1"/>
  <pivotFields count="22">
    <pivotField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showAll="0">
      <items count="215">
        <item x="88"/>
        <item x="170"/>
        <item x="100"/>
        <item x="211"/>
        <item x="204"/>
        <item x="48"/>
        <item x="185"/>
        <item x="39"/>
        <item x="44"/>
        <item x="125"/>
        <item x="27"/>
        <item x="168"/>
        <item x="158"/>
        <item x="203"/>
        <item x="144"/>
        <item x="179"/>
        <item x="12"/>
        <item x="67"/>
        <item x="74"/>
        <item x="59"/>
        <item x="140"/>
        <item x="46"/>
        <item x="102"/>
        <item x="112"/>
        <item x="206"/>
        <item x="210"/>
        <item x="3"/>
        <item x="16"/>
        <item x="35"/>
        <item x="76"/>
        <item x="2"/>
        <item x="36"/>
        <item x="195"/>
        <item x="209"/>
        <item x="101"/>
        <item x="172"/>
        <item x="84"/>
        <item x="149"/>
        <item x="19"/>
        <item x="191"/>
        <item x="64"/>
        <item x="1"/>
        <item x="104"/>
        <item x="79"/>
        <item x="122"/>
        <item x="212"/>
        <item x="194"/>
        <item x="128"/>
        <item x="121"/>
        <item x="150"/>
        <item x="196"/>
        <item x="82"/>
        <item x="163"/>
        <item x="178"/>
        <item x="49"/>
        <item x="91"/>
        <item x="152"/>
        <item x="192"/>
        <item x="111"/>
        <item x="5"/>
        <item x="108"/>
        <item x="71"/>
        <item x="113"/>
        <item x="66"/>
        <item x="116"/>
        <item x="189"/>
        <item x="154"/>
        <item x="103"/>
        <item x="155"/>
        <item x="167"/>
        <item x="61"/>
        <item x="142"/>
        <item x="176"/>
        <item x="181"/>
        <item x="43"/>
        <item x="193"/>
        <item x="107"/>
        <item x="207"/>
        <item x="157"/>
        <item x="165"/>
        <item x="97"/>
        <item x="77"/>
        <item x="96"/>
        <item x="197"/>
        <item x="78"/>
        <item x="15"/>
        <item x="25"/>
        <item x="73"/>
        <item x="131"/>
        <item x="141"/>
        <item x="11"/>
        <item x="159"/>
        <item x="21"/>
        <item x="143"/>
        <item x="190"/>
        <item x="63"/>
        <item x="123"/>
        <item x="187"/>
        <item x="53"/>
        <item x="188"/>
        <item x="124"/>
        <item x="65"/>
        <item x="69"/>
        <item x="130"/>
        <item x="175"/>
        <item x="95"/>
        <item x="136"/>
        <item x="57"/>
        <item x="138"/>
        <item x="147"/>
        <item x="80"/>
        <item x="117"/>
        <item x="126"/>
        <item x="184"/>
        <item x="32"/>
        <item x="118"/>
        <item x="160"/>
        <item x="26"/>
        <item x="137"/>
        <item x="135"/>
        <item x="60"/>
        <item x="94"/>
        <item x="22"/>
        <item x="198"/>
        <item x="54"/>
        <item x="29"/>
        <item x="177"/>
        <item x="23"/>
        <item x="33"/>
        <item x="199"/>
        <item x="200"/>
        <item x="115"/>
        <item x="161"/>
        <item x="202"/>
        <item x="105"/>
        <item x="86"/>
        <item x="129"/>
        <item x="148"/>
        <item x="58"/>
        <item x="169"/>
        <item x="38"/>
        <item x="47"/>
        <item x="151"/>
        <item x="34"/>
        <item x="40"/>
        <item x="50"/>
        <item x="62"/>
        <item x="99"/>
        <item x="41"/>
        <item x="81"/>
        <item x="68"/>
        <item x="114"/>
        <item x="134"/>
        <item x="164"/>
        <item x="55"/>
        <item x="98"/>
        <item x="146"/>
        <item x="45"/>
        <item x="153"/>
        <item x="145"/>
        <item x="17"/>
        <item x="52"/>
        <item x="109"/>
        <item x="9"/>
        <item x="72"/>
        <item x="156"/>
        <item x="85"/>
        <item x="132"/>
        <item x="37"/>
        <item x="133"/>
        <item x="171"/>
        <item x="10"/>
        <item x="120"/>
        <item x="8"/>
        <item x="31"/>
        <item x="183"/>
        <item x="201"/>
        <item x="14"/>
        <item x="89"/>
        <item x="127"/>
        <item x="24"/>
        <item x="20"/>
        <item x="180"/>
        <item x="92"/>
        <item x="93"/>
        <item x="174"/>
        <item x="75"/>
        <item x="83"/>
        <item x="51"/>
        <item x="18"/>
        <item x="0"/>
        <item x="182"/>
        <item x="28"/>
        <item x="4"/>
        <item x="87"/>
        <item x="90"/>
        <item x="110"/>
        <item x="213"/>
        <item x="162"/>
        <item x="6"/>
        <item x="173"/>
        <item x="56"/>
        <item x="139"/>
        <item x="70"/>
        <item x="119"/>
        <item x="208"/>
        <item x="186"/>
        <item x="13"/>
        <item x="166"/>
        <item x="30"/>
        <item x="205"/>
        <item x="7"/>
        <item x="106"/>
        <item x="42"/>
        <item t="default"/>
      </items>
    </pivotField>
    <pivotField axis="axisRow" showAll="0">
      <items count="6">
        <item sd="0" x="0"/>
        <item sd="0" x="1"/>
        <item sd="0" x="4"/>
        <item sd="0" x="2"/>
        <item sd="0" x="3"/>
        <item t="default"/>
      </items>
    </pivotField>
    <pivotField numFmtId="14" showAll="0">
      <items count="154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  <item t="default"/>
      </items>
    </pivotField>
    <pivotField numFmtId="14" showAll="0">
      <items count="167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  <item t="default"/>
      </items>
    </pivotField>
    <pivotField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Budget Spent (INR)" fld="6" baseField="2" baseItem="0" numFmtId="164"/>
    <dataField name="Revenue Generated (INR)" fld="10" baseField="2" baseItem="0" numFmtId="164"/>
    <dataField name="Total Impressions" fld="7" baseField="2" baseItem="0" numFmtId="1"/>
    <dataField name="Total Clicks" fld="8" baseField="2" baseItem="0" numFmtId="1"/>
    <dataField name="Total Conversions" fld="9" baseField="2" baseItem="0" numFmtId="1"/>
    <dataField name="Average CTR (%)" fld="11" subtotal="average" baseField="2" baseItem="0" numFmtId="10"/>
    <dataField name="Average Conversion Rate (%)" fld="12" subtotal="average" baseField="2" baseItem="0" numFmtId="10"/>
    <dataField name="Average Cost Per Click" fld="13" subtotal="average" baseField="2" baseItem="0" numFmtId="164"/>
    <dataField name="Average Cost Per Conversion" fld="14" subtotal="average" baseField="2" baseItem="0" numFmtId="164"/>
    <dataField name="Average ROI (%)" fld="15" subtotal="average" baseField="2" baseItem="0" numFmtId="9"/>
    <dataField name="Overall ROI (%)" fld="17" baseField="2" baseItem="0" numFmtId="9"/>
    <dataField name="Average Profil/Loss" fld="16" subtotal="average" baseField="2" baseItem="0" numFmtId="164"/>
  </dataFields>
  <formats count="20">
    <format dxfId="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outline="0" collapsedLevelsAreSubtotals="1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40">
      <pivotArea outline="0" collapsedLevelsAreSubtotals="1" fieldPosition="0">
        <references count="1">
          <reference field="4294967294" count="2" selected="0">
            <x v="5"/>
            <x v="6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</formats>
  <chartFormats count="2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46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4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5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51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4B97C-6DF7-4B2E-9CE9-11C82A5E13E2}" name="Campaigns_By_CPA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3:H223" firstHeaderRow="1" firstDataRow="1" firstDataCol="2"/>
  <pivotFields count="22">
    <pivotField axis="axisRow" compact="0" outline="0" showAll="0" sortType="descending" defaultSubtotal="0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4">
        <item x="88"/>
        <item x="170"/>
        <item x="100"/>
        <item x="211"/>
        <item x="204"/>
        <item x="48"/>
        <item x="185"/>
        <item x="39"/>
        <item x="44"/>
        <item x="125"/>
        <item x="27"/>
        <item x="168"/>
        <item x="158"/>
        <item x="203"/>
        <item x="144"/>
        <item x="179"/>
        <item x="12"/>
        <item x="67"/>
        <item x="74"/>
        <item x="59"/>
        <item x="140"/>
        <item x="46"/>
        <item x="102"/>
        <item x="112"/>
        <item x="206"/>
        <item x="210"/>
        <item x="3"/>
        <item x="16"/>
        <item x="35"/>
        <item x="76"/>
        <item x="2"/>
        <item x="36"/>
        <item x="195"/>
        <item x="209"/>
        <item x="101"/>
        <item x="172"/>
        <item x="84"/>
        <item x="149"/>
        <item x="19"/>
        <item x="191"/>
        <item x="64"/>
        <item x="1"/>
        <item x="104"/>
        <item x="79"/>
        <item x="122"/>
        <item x="212"/>
        <item x="194"/>
        <item x="128"/>
        <item x="121"/>
        <item x="150"/>
        <item x="196"/>
        <item x="82"/>
        <item x="163"/>
        <item x="178"/>
        <item x="49"/>
        <item x="91"/>
        <item x="152"/>
        <item x="192"/>
        <item x="111"/>
        <item x="5"/>
        <item x="108"/>
        <item x="71"/>
        <item x="113"/>
        <item x="66"/>
        <item x="116"/>
        <item x="189"/>
        <item x="154"/>
        <item x="103"/>
        <item x="155"/>
        <item x="167"/>
        <item x="61"/>
        <item x="142"/>
        <item x="176"/>
        <item x="181"/>
        <item x="43"/>
        <item x="193"/>
        <item x="107"/>
        <item x="207"/>
        <item x="157"/>
        <item x="165"/>
        <item x="97"/>
        <item x="77"/>
        <item x="96"/>
        <item x="197"/>
        <item x="78"/>
        <item x="15"/>
        <item x="25"/>
        <item x="73"/>
        <item x="131"/>
        <item x="141"/>
        <item x="11"/>
        <item x="159"/>
        <item x="21"/>
        <item x="143"/>
        <item x="190"/>
        <item x="63"/>
        <item x="123"/>
        <item x="187"/>
        <item x="53"/>
        <item x="188"/>
        <item x="124"/>
        <item x="65"/>
        <item x="69"/>
        <item x="130"/>
        <item x="175"/>
        <item x="95"/>
        <item x="136"/>
        <item x="57"/>
        <item x="138"/>
        <item x="147"/>
        <item x="80"/>
        <item x="117"/>
        <item x="126"/>
        <item x="184"/>
        <item x="32"/>
        <item x="118"/>
        <item x="160"/>
        <item x="26"/>
        <item x="137"/>
        <item x="135"/>
        <item x="60"/>
        <item x="94"/>
        <item x="22"/>
        <item x="198"/>
        <item x="54"/>
        <item x="29"/>
        <item x="177"/>
        <item x="23"/>
        <item x="33"/>
        <item x="199"/>
        <item x="200"/>
        <item x="115"/>
        <item x="161"/>
        <item x="202"/>
        <item x="105"/>
        <item x="86"/>
        <item x="129"/>
        <item x="148"/>
        <item x="58"/>
        <item x="169"/>
        <item x="38"/>
        <item x="47"/>
        <item x="151"/>
        <item x="34"/>
        <item x="40"/>
        <item x="50"/>
        <item x="62"/>
        <item x="99"/>
        <item x="41"/>
        <item x="81"/>
        <item x="68"/>
        <item x="114"/>
        <item x="134"/>
        <item x="164"/>
        <item x="55"/>
        <item x="98"/>
        <item x="146"/>
        <item x="45"/>
        <item x="153"/>
        <item x="145"/>
        <item x="17"/>
        <item x="52"/>
        <item x="109"/>
        <item x="9"/>
        <item x="72"/>
        <item x="156"/>
        <item x="85"/>
        <item x="132"/>
        <item x="37"/>
        <item x="133"/>
        <item x="171"/>
        <item x="10"/>
        <item x="120"/>
        <item x="8"/>
        <item x="31"/>
        <item x="183"/>
        <item x="201"/>
        <item x="14"/>
        <item x="89"/>
        <item x="127"/>
        <item x="24"/>
        <item x="20"/>
        <item x="180"/>
        <item x="92"/>
        <item x="93"/>
        <item x="174"/>
        <item x="75"/>
        <item x="83"/>
        <item x="51"/>
        <item x="18"/>
        <item x="0"/>
        <item x="182"/>
        <item x="28"/>
        <item x="4"/>
        <item x="87"/>
        <item x="90"/>
        <item x="110"/>
        <item x="213"/>
        <item x="162"/>
        <item x="6"/>
        <item x="173"/>
        <item x="56"/>
        <item x="139"/>
        <item x="70"/>
        <item x="119"/>
        <item x="208"/>
        <item x="186"/>
        <item x="13"/>
        <item x="166"/>
        <item x="30"/>
        <item x="205"/>
        <item x="7"/>
        <item x="106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153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166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20">
    <i>
      <x v="192"/>
      <x v="99"/>
    </i>
    <i>
      <x v="45"/>
      <x v="157"/>
    </i>
    <i>
      <x v="159"/>
      <x v="165"/>
    </i>
    <i>
      <x v="167"/>
      <x v="153"/>
    </i>
    <i>
      <x v="166"/>
      <x v="52"/>
    </i>
    <i>
      <x v="44"/>
      <x v="8"/>
    </i>
    <i>
      <x v="74"/>
      <x v="87"/>
    </i>
    <i>
      <x v="130"/>
      <x v="192"/>
    </i>
    <i>
      <x v="80"/>
      <x v="43"/>
    </i>
    <i>
      <x v="92"/>
      <x v="55"/>
    </i>
    <i>
      <x v="212"/>
      <x v="24"/>
    </i>
    <i>
      <x v="109"/>
      <x v="60"/>
    </i>
    <i>
      <x v="55"/>
      <x v="124"/>
    </i>
    <i>
      <x v="209"/>
      <x v="13"/>
    </i>
    <i>
      <x v="19"/>
      <x v="38"/>
    </i>
    <i>
      <x v="174"/>
      <x v="93"/>
    </i>
    <i>
      <x v="138"/>
      <x v="119"/>
    </i>
    <i>
      <x v="134"/>
      <x v="88"/>
    </i>
    <i>
      <x v="53"/>
      <x v="161"/>
    </i>
    <i>
      <x v="125"/>
      <x v="96"/>
    </i>
    <i>
      <x v="16"/>
      <x v="27"/>
    </i>
    <i>
      <x v="100"/>
      <x v="147"/>
    </i>
    <i>
      <x v="145"/>
      <x v="71"/>
    </i>
    <i>
      <x v="129"/>
      <x v="179"/>
    </i>
    <i>
      <x v="86"/>
      <x v="166"/>
    </i>
    <i>
      <x v="111"/>
      <x v="196"/>
    </i>
    <i>
      <x v="178"/>
      <x v="185"/>
    </i>
    <i>
      <x v="128"/>
      <x v="112"/>
    </i>
    <i>
      <x v="31"/>
      <x v="174"/>
    </i>
    <i>
      <x v="162"/>
      <x v="91"/>
    </i>
    <i>
      <x v="7"/>
      <x v="211"/>
    </i>
    <i>
      <x v="104"/>
      <x v="67"/>
    </i>
    <i>
      <x v="133"/>
      <x v="103"/>
    </i>
    <i>
      <x v="34"/>
      <x v="143"/>
    </i>
    <i>
      <x v="96"/>
      <x v="105"/>
    </i>
    <i>
      <x v="38"/>
      <x v="140"/>
    </i>
    <i>
      <x v="112"/>
      <x v="58"/>
    </i>
    <i>
      <x v="206"/>
      <x v="130"/>
    </i>
    <i>
      <x v="11"/>
      <x v="90"/>
    </i>
    <i>
      <x v="43"/>
      <x v="74"/>
    </i>
    <i>
      <x v="179"/>
      <x v="104"/>
    </i>
    <i>
      <x v="149"/>
      <x v="156"/>
    </i>
    <i>
      <x v="113"/>
      <x v="23"/>
    </i>
    <i>
      <x v="164"/>
      <x v="132"/>
    </i>
    <i>
      <x v="58"/>
      <x v="107"/>
    </i>
    <i>
      <x v="26"/>
      <x v="117"/>
    </i>
    <i>
      <x v="21"/>
      <x v="92"/>
    </i>
    <i>
      <x v="22"/>
      <x v="122"/>
    </i>
    <i>
      <x v="170"/>
      <x v="69"/>
    </i>
    <i>
      <x v="28"/>
      <x v="192"/>
    </i>
    <i>
      <x v="116"/>
      <x v="131"/>
    </i>
    <i>
      <x v="59"/>
      <x v="138"/>
    </i>
    <i>
      <x v="52"/>
      <x v="188"/>
    </i>
    <i>
      <x v="23"/>
      <x v="127"/>
    </i>
    <i>
      <x v="151"/>
      <x v="137"/>
    </i>
    <i>
      <x v="160"/>
      <x v="78"/>
    </i>
    <i>
      <x v="158"/>
      <x v="68"/>
    </i>
    <i>
      <x v="165"/>
      <x v="198"/>
    </i>
    <i>
      <x v="42"/>
      <x v="213"/>
    </i>
    <i>
      <x v="57"/>
      <x v="201"/>
    </i>
    <i>
      <x v="175"/>
      <x v="170"/>
    </i>
    <i>
      <x v="203"/>
      <x v="123"/>
    </i>
    <i>
      <x v="194"/>
      <x v="99"/>
    </i>
    <i>
      <x v="72"/>
      <x v="61"/>
    </i>
    <i>
      <x v="200"/>
      <x v="32"/>
    </i>
    <i>
      <x v="205"/>
      <x v="129"/>
    </i>
    <i>
      <x v="30"/>
      <x v="209"/>
    </i>
    <i>
      <x v="33"/>
      <x v="128"/>
    </i>
    <i>
      <x v="187"/>
      <x v="175"/>
    </i>
    <i>
      <x v="93"/>
      <x v="183"/>
    </i>
    <i>
      <x v="101"/>
      <x v="2"/>
    </i>
    <i>
      <x v="148"/>
      <x v="159"/>
    </i>
    <i>
      <x v="54"/>
      <x v="98"/>
    </i>
    <i>
      <x v="117"/>
      <x v="29"/>
    </i>
    <i>
      <x v="65"/>
      <x v="40"/>
    </i>
    <i>
      <x v="64"/>
      <x v="95"/>
    </i>
    <i>
      <x v="127"/>
      <x v="9"/>
    </i>
    <i>
      <x v="131"/>
      <x v="47"/>
    </i>
    <i>
      <x v="201"/>
      <x v="50"/>
    </i>
    <i>
      <x v="132"/>
      <x v="136"/>
    </i>
    <i>
      <x v="120"/>
      <x v="115"/>
    </i>
    <i>
      <x v="69"/>
      <x v="150"/>
    </i>
    <i>
      <x v="66"/>
      <x v="101"/>
    </i>
    <i>
      <x v="77"/>
      <x v="29"/>
    </i>
    <i>
      <x v="180"/>
      <x v="72"/>
    </i>
    <i>
      <x v="123"/>
      <x v="48"/>
    </i>
    <i>
      <x v="40"/>
      <x v="144"/>
    </i>
    <i>
      <x v="73"/>
      <x v="164"/>
    </i>
    <i>
      <x v="37"/>
      <x v="168"/>
    </i>
    <i>
      <x v="135"/>
      <x v="167"/>
    </i>
    <i>
      <x v="136"/>
      <x v="169"/>
    </i>
    <i>
      <x v="121"/>
      <x v="204"/>
    </i>
    <i>
      <x v="207"/>
      <x v="176"/>
    </i>
    <i>
      <x v="20"/>
      <x v="181"/>
    </i>
    <i>
      <x v="1"/>
      <x v="41"/>
    </i>
    <i>
      <x v="118"/>
      <x v="64"/>
    </i>
    <i>
      <x v="3"/>
      <x v="26"/>
    </i>
    <i>
      <x v="56"/>
      <x v="154"/>
    </i>
    <i>
      <x v="36"/>
      <x v="31"/>
    </i>
    <i>
      <x v="188"/>
      <x v="113"/>
    </i>
    <i>
      <x v="79"/>
      <x v="84"/>
    </i>
    <i>
      <x v="152"/>
      <x v="37"/>
    </i>
    <i>
      <x v="150"/>
      <x v="109"/>
    </i>
    <i>
      <x v="110"/>
      <x v="162"/>
    </i>
    <i>
      <x v="126"/>
      <x v="100"/>
    </i>
    <i>
      <x v="47"/>
      <x v="21"/>
    </i>
    <i>
      <x v="202"/>
      <x v="83"/>
    </i>
    <i>
      <x v="177"/>
      <x v="200"/>
    </i>
    <i>
      <x v="94"/>
      <x v="184"/>
    </i>
    <i>
      <x v="78"/>
      <x v="81"/>
    </i>
    <i>
      <x v="84"/>
      <x v="187"/>
    </i>
    <i>
      <x v="214"/>
      <x v="205"/>
    </i>
    <i>
      <x v="114"/>
      <x v="62"/>
    </i>
    <i>
      <x v="119"/>
      <x v="111"/>
    </i>
    <i>
      <x v="147"/>
      <x v="14"/>
    </i>
    <i>
      <x v="172"/>
      <x v="139"/>
    </i>
    <i>
      <x v="17"/>
      <x v="160"/>
    </i>
    <i>
      <x v="198"/>
      <x v="75"/>
    </i>
    <i>
      <x v="183"/>
      <x v="15"/>
    </i>
    <i>
      <x v="32"/>
      <x v="114"/>
    </i>
    <i>
      <x v="8"/>
      <x v="173"/>
    </i>
    <i>
      <x v="91"/>
      <x v="195"/>
    </i>
    <i>
      <x v="176"/>
      <x v="35"/>
    </i>
    <i>
      <x v="143"/>
      <x v="20"/>
    </i>
    <i>
      <x v="63"/>
      <x v="146"/>
    </i>
    <i>
      <x v="68"/>
      <x v="17"/>
    </i>
    <i>
      <x v="105"/>
      <x v="42"/>
    </i>
    <i>
      <x v="171"/>
      <x v="11"/>
    </i>
    <i>
      <x v="181"/>
      <x v="126"/>
    </i>
    <i>
      <x v="191"/>
      <x v="97"/>
    </i>
    <i>
      <x v="186"/>
      <x v="191"/>
    </i>
    <i>
      <x v="5"/>
      <x v="59"/>
    </i>
    <i>
      <x v="83"/>
      <x v="51"/>
    </i>
    <i>
      <x v="39"/>
      <x v="7"/>
    </i>
    <i>
      <x v="182"/>
      <x v="53"/>
    </i>
    <i>
      <x v="75"/>
      <x v="18"/>
    </i>
    <i>
      <x v="25"/>
      <x v="86"/>
    </i>
    <i>
      <x v="24"/>
      <x v="180"/>
    </i>
    <i>
      <x v="140"/>
      <x v="118"/>
    </i>
    <i>
      <x v="213"/>
      <x v="77"/>
    </i>
    <i>
      <x v="87"/>
      <x v="135"/>
    </i>
    <i>
      <x v="219"/>
      <x v="197"/>
    </i>
    <i>
      <x v="4"/>
      <x v="193"/>
    </i>
    <i>
      <x v="76"/>
      <x v="186"/>
    </i>
    <i>
      <x v="216"/>
      <x v="25"/>
    </i>
    <i>
      <x v="51"/>
      <x v="145"/>
    </i>
    <i>
      <x v="48"/>
      <x v="141"/>
    </i>
    <i>
      <x v="103"/>
      <x v="22"/>
    </i>
    <i>
      <x v="41"/>
      <x v="148"/>
    </i>
    <i>
      <x v="12"/>
      <x v="16"/>
    </i>
    <i>
      <x v="142"/>
      <x v="202"/>
    </i>
    <i>
      <x v="2"/>
      <x v="30"/>
    </i>
    <i>
      <x v="155"/>
      <x v="56"/>
    </i>
    <i>
      <x v="161"/>
      <x v="12"/>
    </i>
    <i>
      <x v="157"/>
      <x v="66"/>
    </i>
    <i>
      <x v="85"/>
      <x v="36"/>
    </i>
    <i>
      <x/>
      <x v="190"/>
    </i>
    <i>
      <x v="70"/>
      <x v="102"/>
    </i>
    <i>
      <x v="6"/>
      <x v="199"/>
    </i>
    <i>
      <x v="95"/>
      <x v="121"/>
    </i>
    <i>
      <x v="13"/>
      <x v="207"/>
    </i>
    <i>
      <x v="14"/>
      <x v="177"/>
    </i>
    <i>
      <x v="217"/>
      <x v="3"/>
    </i>
    <i>
      <x v="102"/>
      <x v="34"/>
    </i>
    <i>
      <x v="208"/>
      <x v="133"/>
    </i>
    <i>
      <x v="15"/>
      <x v="85"/>
    </i>
    <i>
      <x v="10"/>
      <x v="171"/>
    </i>
    <i>
      <x v="173"/>
      <x v="1"/>
    </i>
    <i>
      <x v="190"/>
      <x v="206"/>
    </i>
    <i>
      <x v="199"/>
      <x v="46"/>
    </i>
    <i>
      <x v="168"/>
      <x v="79"/>
    </i>
    <i>
      <x v="89"/>
      <x/>
    </i>
    <i>
      <x v="88"/>
      <x v="194"/>
    </i>
    <i>
      <x v="60"/>
      <x v="19"/>
    </i>
    <i>
      <x v="46"/>
      <x v="8"/>
    </i>
    <i>
      <x v="141"/>
      <x v="108"/>
    </i>
    <i>
      <x v="81"/>
      <x v="110"/>
    </i>
    <i>
      <x v="195"/>
      <x v="94"/>
    </i>
    <i>
      <x v="124"/>
      <x v="44"/>
    </i>
    <i>
      <x v="197"/>
      <x v="57"/>
    </i>
    <i>
      <x v="196"/>
      <x v="39"/>
    </i>
    <i>
      <x v="35"/>
      <x v="28"/>
    </i>
    <i>
      <x v="146"/>
      <x v="93"/>
    </i>
    <i>
      <x v="144"/>
      <x v="89"/>
    </i>
    <i>
      <x v="108"/>
      <x v="76"/>
    </i>
    <i>
      <x v="99"/>
      <x v="155"/>
    </i>
    <i>
      <x v="62"/>
      <x v="70"/>
    </i>
    <i>
      <x v="184"/>
      <x v="182"/>
    </i>
    <i>
      <x v="139"/>
      <x v="106"/>
    </i>
    <i>
      <x v="61"/>
      <x v="120"/>
    </i>
    <i>
      <x v="211"/>
      <x v="210"/>
    </i>
    <i>
      <x v="67"/>
      <x v="63"/>
    </i>
    <i>
      <x v="215"/>
      <x v="33"/>
    </i>
    <i>
      <x v="50"/>
      <x v="54"/>
    </i>
    <i>
      <x v="71"/>
      <x v="203"/>
    </i>
    <i>
      <x v="49"/>
      <x v="5"/>
    </i>
    <i>
      <x v="90"/>
      <x v="178"/>
    </i>
    <i>
      <x v="107"/>
      <x v="212"/>
    </i>
    <i>
      <x v="204"/>
      <x v="132"/>
    </i>
    <i>
      <x v="153"/>
      <x v="49"/>
    </i>
    <i>
      <x v="82"/>
      <x v="149"/>
    </i>
    <i>
      <x v="27"/>
      <x v="10"/>
    </i>
    <i>
      <x v="218"/>
      <x v="45"/>
    </i>
    <i>
      <x v="106"/>
      <x v="134"/>
    </i>
    <i>
      <x v="185"/>
      <x v="73"/>
    </i>
    <i>
      <x v="156"/>
      <x v="158"/>
    </i>
    <i>
      <x v="9"/>
      <x v="163"/>
    </i>
    <i>
      <x v="115"/>
      <x v="151"/>
    </i>
    <i>
      <x v="163"/>
      <x v="116"/>
    </i>
    <i>
      <x v="193"/>
      <x v="65"/>
    </i>
    <i>
      <x v="137"/>
      <x v="152"/>
    </i>
    <i>
      <x v="122"/>
      <x v="172"/>
    </i>
    <i>
      <x v="98"/>
      <x v="80"/>
    </i>
    <i>
      <x v="29"/>
      <x v="125"/>
    </i>
    <i>
      <x v="18"/>
      <x v="189"/>
    </i>
    <i>
      <x v="189"/>
      <x v="6"/>
    </i>
    <i>
      <x v="154"/>
      <x v="142"/>
    </i>
    <i>
      <x v="169"/>
      <x v="208"/>
    </i>
    <i>
      <x v="210"/>
      <x v="4"/>
    </i>
    <i>
      <x v="97"/>
      <x v="82"/>
    </i>
  </rowItems>
  <colItems count="1">
    <i/>
  </colItems>
  <dataFields count="1">
    <dataField name="Cost Per Conversion (₹)" fld="14" baseField="1" baseItem="165" numFmtId="164"/>
  </dataFields>
  <formats count="232">
    <format dxfId="284">
      <pivotArea outline="0" collapsedLevelsAreSubtotals="1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0" type="button" dataOnly="0" labelOnly="1" outline="0" axis="axisRow" fieldPosition="0"/>
    </format>
    <format dxfId="280">
      <pivotArea field="1" type="button" dataOnly="0" labelOnly="1" outline="0" axis="axisRow" fieldPosition="1"/>
    </format>
    <format dxfId="279">
      <pivotArea dataOnly="0" labelOnly="1" outline="0" fieldPosition="0">
        <references count="1">
          <reference field="0" count="50">
            <x v="7"/>
            <x v="11"/>
            <x v="16"/>
            <x v="19"/>
            <x v="21"/>
            <x v="22"/>
            <x v="26"/>
            <x v="28"/>
            <x v="31"/>
            <x v="34"/>
            <x v="38"/>
            <x v="43"/>
            <x v="44"/>
            <x v="45"/>
            <x v="53"/>
            <x v="55"/>
            <x v="58"/>
            <x v="74"/>
            <x v="80"/>
            <x v="86"/>
            <x v="92"/>
            <x v="96"/>
            <x v="100"/>
            <x v="104"/>
            <x v="109"/>
            <x v="111"/>
            <x v="112"/>
            <x v="113"/>
            <x v="125"/>
            <x v="128"/>
            <x v="129"/>
            <x v="130"/>
            <x v="133"/>
            <x v="134"/>
            <x v="138"/>
            <x v="145"/>
            <x v="149"/>
            <x v="159"/>
            <x v="162"/>
            <x v="164"/>
            <x v="166"/>
            <x v="167"/>
            <x v="170"/>
            <x v="174"/>
            <x v="178"/>
            <x v="179"/>
            <x v="192"/>
            <x v="206"/>
            <x v="209"/>
            <x v="212"/>
          </reference>
        </references>
      </pivotArea>
    </format>
    <format dxfId="278">
      <pivotArea dataOnly="0" labelOnly="1" outline="0" fieldPosition="0">
        <references count="1">
          <reference field="0" count="50">
            <x v="1"/>
            <x v="3"/>
            <x v="20"/>
            <x v="23"/>
            <x v="30"/>
            <x v="33"/>
            <x v="36"/>
            <x v="37"/>
            <x v="40"/>
            <x v="42"/>
            <x v="52"/>
            <x v="54"/>
            <x v="56"/>
            <x v="57"/>
            <x v="59"/>
            <x v="64"/>
            <x v="65"/>
            <x v="66"/>
            <x v="69"/>
            <x v="72"/>
            <x v="73"/>
            <x v="77"/>
            <x v="93"/>
            <x v="101"/>
            <x v="116"/>
            <x v="117"/>
            <x v="118"/>
            <x v="120"/>
            <x v="121"/>
            <x v="123"/>
            <x v="127"/>
            <x v="131"/>
            <x v="132"/>
            <x v="135"/>
            <x v="136"/>
            <x v="148"/>
            <x v="151"/>
            <x v="158"/>
            <x v="160"/>
            <x v="165"/>
            <x v="175"/>
            <x v="180"/>
            <x v="187"/>
            <x v="188"/>
            <x v="194"/>
            <x v="200"/>
            <x v="201"/>
            <x v="203"/>
            <x v="205"/>
            <x v="207"/>
          </reference>
        </references>
      </pivotArea>
    </format>
    <format dxfId="277">
      <pivotArea dataOnly="0" labelOnly="1" outline="0" fieldPosition="0">
        <references count="1">
          <reference field="0" count="50">
            <x v="4"/>
            <x v="5"/>
            <x v="8"/>
            <x v="12"/>
            <x v="17"/>
            <x v="24"/>
            <x v="25"/>
            <x v="32"/>
            <x v="39"/>
            <x v="41"/>
            <x v="47"/>
            <x v="48"/>
            <x v="51"/>
            <x v="63"/>
            <x v="68"/>
            <x v="75"/>
            <x v="76"/>
            <x v="78"/>
            <x v="79"/>
            <x v="83"/>
            <x v="84"/>
            <x v="87"/>
            <x v="91"/>
            <x v="94"/>
            <x v="103"/>
            <x v="105"/>
            <x v="110"/>
            <x v="114"/>
            <x v="119"/>
            <x v="126"/>
            <x v="140"/>
            <x v="143"/>
            <x v="147"/>
            <x v="150"/>
            <x v="152"/>
            <x v="171"/>
            <x v="172"/>
            <x v="176"/>
            <x v="177"/>
            <x v="181"/>
            <x v="182"/>
            <x v="183"/>
            <x v="186"/>
            <x v="191"/>
            <x v="198"/>
            <x v="202"/>
            <x v="213"/>
            <x v="214"/>
            <x v="216"/>
            <x v="219"/>
          </reference>
        </references>
      </pivotArea>
    </format>
    <format dxfId="276">
      <pivotArea dataOnly="0" labelOnly="1" outline="0" fieldPosition="0">
        <references count="1">
          <reference field="0" count="50">
            <x v="0"/>
            <x v="2"/>
            <x v="6"/>
            <x v="10"/>
            <x v="13"/>
            <x v="14"/>
            <x v="15"/>
            <x v="35"/>
            <x v="46"/>
            <x v="49"/>
            <x v="50"/>
            <x v="60"/>
            <x v="61"/>
            <x v="62"/>
            <x v="67"/>
            <x v="70"/>
            <x v="71"/>
            <x v="81"/>
            <x v="85"/>
            <x v="88"/>
            <x v="89"/>
            <x v="90"/>
            <x v="95"/>
            <x v="99"/>
            <x v="102"/>
            <x v="107"/>
            <x v="108"/>
            <x v="124"/>
            <x v="139"/>
            <x v="141"/>
            <x v="142"/>
            <x v="144"/>
            <x v="146"/>
            <x v="153"/>
            <x v="155"/>
            <x v="157"/>
            <x v="161"/>
            <x v="168"/>
            <x v="173"/>
            <x v="184"/>
            <x v="190"/>
            <x v="195"/>
            <x v="196"/>
            <x v="197"/>
            <x v="199"/>
            <x v="204"/>
            <x v="208"/>
            <x v="211"/>
            <x v="215"/>
            <x v="217"/>
          </reference>
        </references>
      </pivotArea>
    </format>
    <format dxfId="275">
      <pivotArea dataOnly="0" labelOnly="1" outline="0" fieldPosition="0">
        <references count="1">
          <reference field="0" count="20">
            <x v="9"/>
            <x v="18"/>
            <x v="27"/>
            <x v="29"/>
            <x v="82"/>
            <x v="97"/>
            <x v="98"/>
            <x v="106"/>
            <x v="115"/>
            <x v="122"/>
            <x v="137"/>
            <x v="154"/>
            <x v="156"/>
            <x v="163"/>
            <x v="169"/>
            <x v="185"/>
            <x v="189"/>
            <x v="193"/>
            <x v="210"/>
            <x v="218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92"/>
          </reference>
          <reference field="1" count="1">
            <x v="99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45"/>
          </reference>
          <reference field="1" count="1">
            <x v="157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59"/>
          </reference>
          <reference field="1" count="1">
            <x v="165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167"/>
          </reference>
          <reference field="1" count="1">
            <x v="153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66"/>
          </reference>
          <reference field="1" count="1">
            <x v="52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44"/>
          </reference>
          <reference field="1" count="1">
            <x v="8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74"/>
          </reference>
          <reference field="1" count="1">
            <x v="87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130"/>
          </reference>
          <reference field="1" count="1">
            <x v="192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80"/>
          </reference>
          <reference field="1" count="1">
            <x v="43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92"/>
          </reference>
          <reference field="1" count="1">
            <x v="55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212"/>
          </reference>
          <reference field="1" count="1">
            <x v="24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09"/>
          </reference>
          <reference field="1" count="1">
            <x v="60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55"/>
          </reference>
          <reference field="1" count="1">
            <x v="124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09"/>
          </reference>
          <reference field="1" count="1">
            <x v="13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19"/>
          </reference>
          <reference field="1" count="1">
            <x v="38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174"/>
          </reference>
          <reference field="1" count="1">
            <x v="93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138"/>
          </reference>
          <reference field="1" count="1">
            <x v="119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34"/>
          </reference>
          <reference field="1" count="1">
            <x v="88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53"/>
          </reference>
          <reference field="1" count="1">
            <x v="161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25"/>
          </reference>
          <reference field="1" count="1">
            <x v="96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6"/>
          </reference>
          <reference field="1" count="1">
            <x v="27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00"/>
          </reference>
          <reference field="1" count="1">
            <x v="147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45"/>
          </reference>
          <reference field="1" count="1">
            <x v="71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29"/>
          </reference>
          <reference field="1" count="1">
            <x v="179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86"/>
          </reference>
          <reference field="1" count="1">
            <x v="166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11"/>
          </reference>
          <reference field="1" count="1">
            <x v="196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78"/>
          </reference>
          <reference field="1" count="1">
            <x v="185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128"/>
          </reference>
          <reference field="1" count="1">
            <x v="112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31"/>
          </reference>
          <reference field="1" count="1">
            <x v="174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62"/>
          </reference>
          <reference field="1" count="1">
            <x v="91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7"/>
          </reference>
          <reference field="1" count="1">
            <x v="211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04"/>
          </reference>
          <reference field="1" count="1">
            <x v="67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33"/>
          </reference>
          <reference field="1" count="1">
            <x v="103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34"/>
          </reference>
          <reference field="1" count="1">
            <x v="143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96"/>
          </reference>
          <reference field="1" count="1">
            <x v="105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38"/>
          </reference>
          <reference field="1" count="1">
            <x v="140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12"/>
          </reference>
          <reference field="1" count="1">
            <x v="58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206"/>
          </reference>
          <reference field="1" count="1">
            <x v="130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1"/>
          </reference>
          <reference field="1" count="1">
            <x v="90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43"/>
          </reference>
          <reference field="1" count="1">
            <x v="74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79"/>
          </reference>
          <reference field="1" count="1">
            <x v="104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49"/>
          </reference>
          <reference field="1" count="1">
            <x v="156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13"/>
          </reference>
          <reference field="1" count="1">
            <x v="23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64"/>
          </reference>
          <reference field="1" count="1">
            <x v="132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58"/>
          </reference>
          <reference field="1" count="1">
            <x v="107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26"/>
          </reference>
          <reference field="1" count="1">
            <x v="117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21"/>
          </reference>
          <reference field="1" count="1">
            <x v="92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22"/>
          </reference>
          <reference field="1" count="1">
            <x v="122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70"/>
          </reference>
          <reference field="1" count="1">
            <x v="69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28"/>
          </reference>
          <reference field="1" count="1">
            <x v="192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16"/>
          </reference>
          <reference field="1" count="1">
            <x v="131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59"/>
          </reference>
          <reference field="1" count="1">
            <x v="138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52"/>
          </reference>
          <reference field="1" count="1">
            <x v="188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23"/>
          </reference>
          <reference field="1" count="1">
            <x v="127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51"/>
          </reference>
          <reference field="1" count="1">
            <x v="137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60"/>
          </reference>
          <reference field="1" count="1">
            <x v="78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58"/>
          </reference>
          <reference field="1" count="1">
            <x v="68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65"/>
          </reference>
          <reference field="1" count="1">
            <x v="198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42"/>
          </reference>
          <reference field="1" count="1">
            <x v="213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57"/>
          </reference>
          <reference field="1" count="1">
            <x v="201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75"/>
          </reference>
          <reference field="1" count="1">
            <x v="170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203"/>
          </reference>
          <reference field="1" count="1">
            <x v="123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94"/>
          </reference>
          <reference field="1" count="1">
            <x v="99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72"/>
          </reference>
          <reference field="1" count="1">
            <x v="61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200"/>
          </reference>
          <reference field="1" count="1">
            <x v="32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205"/>
          </reference>
          <reference field="1" count="1">
            <x v="129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30"/>
          </reference>
          <reference field="1" count="1">
            <x v="209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33"/>
          </reference>
          <reference field="1" count="1">
            <x v="128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87"/>
          </reference>
          <reference field="1" count="1">
            <x v="175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93"/>
          </reference>
          <reference field="1" count="1">
            <x v="183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01"/>
          </reference>
          <reference field="1" count="1">
            <x v="2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48"/>
          </reference>
          <reference field="1" count="1">
            <x v="159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54"/>
          </reference>
          <reference field="1" count="1">
            <x v="98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17"/>
          </reference>
          <reference field="1" count="1">
            <x v="29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65"/>
          </reference>
          <reference field="1" count="1">
            <x v="40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64"/>
          </reference>
          <reference field="1" count="1">
            <x v="95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27"/>
          </reference>
          <reference field="1" count="1">
            <x v="9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31"/>
          </reference>
          <reference field="1" count="1">
            <x v="47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201"/>
          </reference>
          <reference field="1" count="1">
            <x v="50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32"/>
          </reference>
          <reference field="1" count="1">
            <x v="136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20"/>
          </reference>
          <reference field="1" count="1">
            <x v="115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69"/>
          </reference>
          <reference field="1" count="1">
            <x v="150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66"/>
          </reference>
          <reference field="1" count="1">
            <x v="101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77"/>
          </reference>
          <reference field="1" count="1">
            <x v="29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180"/>
          </reference>
          <reference field="1" count="1">
            <x v="72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23"/>
          </reference>
          <reference field="1" count="1">
            <x v="48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40"/>
          </reference>
          <reference field="1" count="1">
            <x v="144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73"/>
          </reference>
          <reference field="1" count="1">
            <x v="164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37"/>
          </reference>
          <reference field="1" count="1">
            <x v="168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35"/>
          </reference>
          <reference field="1" count="1">
            <x v="167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36"/>
          </reference>
          <reference field="1" count="1">
            <x v="169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121"/>
          </reference>
          <reference field="1" count="1">
            <x v="204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207"/>
          </reference>
          <reference field="1" count="1">
            <x v="176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20"/>
          </reference>
          <reference field="1" count="1">
            <x v="181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"/>
          </reference>
          <reference field="1" count="1">
            <x v="41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18"/>
          </reference>
          <reference field="1" count="1">
            <x v="64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3"/>
          </reference>
          <reference field="1" count="1">
            <x v="26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56"/>
          </reference>
          <reference field="1" count="1">
            <x v="154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36"/>
          </reference>
          <reference field="1" count="1">
            <x v="31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88"/>
          </reference>
          <reference field="1" count="1">
            <x v="113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79"/>
          </reference>
          <reference field="1" count="1">
            <x v="84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52"/>
          </reference>
          <reference field="1" count="1">
            <x v="37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50"/>
          </reference>
          <reference field="1" count="1">
            <x v="109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10"/>
          </reference>
          <reference field="1" count="1">
            <x v="162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26"/>
          </reference>
          <reference field="1" count="1">
            <x v="100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47"/>
          </reference>
          <reference field="1" count="1">
            <x v="21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202"/>
          </reference>
          <reference field="1" count="1">
            <x v="83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77"/>
          </reference>
          <reference field="1" count="1">
            <x v="200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94"/>
          </reference>
          <reference field="1" count="1">
            <x v="18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78"/>
          </reference>
          <reference field="1" count="1">
            <x v="81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84"/>
          </reference>
          <reference field="1" count="1">
            <x v="187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214"/>
          </reference>
          <reference field="1" count="1">
            <x v="205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14"/>
          </reference>
          <reference field="1" count="1">
            <x v="62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19"/>
          </reference>
          <reference field="1" count="1">
            <x v="111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47"/>
          </reference>
          <reference field="1" count="1">
            <x v="14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72"/>
          </reference>
          <reference field="1" count="1">
            <x v="139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7"/>
          </reference>
          <reference field="1" count="1">
            <x v="160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98"/>
          </reference>
          <reference field="1" count="1">
            <x v="75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83"/>
          </reference>
          <reference field="1" count="1">
            <x v="15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32"/>
          </reference>
          <reference field="1" count="1">
            <x v="114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8"/>
          </reference>
          <reference field="1" count="1">
            <x v="173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1"/>
          </reference>
          <reference field="1" count="1">
            <x v="195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76"/>
          </reference>
          <reference field="1" count="1">
            <x v="35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143"/>
          </reference>
          <reference field="1" count="1">
            <x v="20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63"/>
          </reference>
          <reference field="1" count="1">
            <x v="146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68"/>
          </reference>
          <reference field="1" count="1">
            <x v="17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05"/>
          </reference>
          <reference field="1" count="1">
            <x v="42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171"/>
          </reference>
          <reference field="1" count="1">
            <x v="11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81"/>
          </reference>
          <reference field="1" count="1">
            <x v="126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91"/>
          </reference>
          <reference field="1" count="1">
            <x v="97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86"/>
          </reference>
          <reference field="1" count="1">
            <x v="19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5"/>
          </reference>
          <reference field="1" count="1">
            <x v="59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83"/>
          </reference>
          <reference field="1" count="1">
            <x v="5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39"/>
          </reference>
          <reference field="1" count="1">
            <x v="7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82"/>
          </reference>
          <reference field="1" count="1">
            <x v="53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75"/>
          </reference>
          <reference field="1" count="1">
            <x v="18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25"/>
          </reference>
          <reference field="1" count="1">
            <x v="86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24"/>
          </reference>
          <reference field="1" count="1">
            <x v="180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140"/>
          </reference>
          <reference field="1" count="1">
            <x v="118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213"/>
          </reference>
          <reference field="1" count="1">
            <x v="77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87"/>
          </reference>
          <reference field="1" count="1">
            <x v="135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219"/>
          </reference>
          <reference field="1" count="1">
            <x v="197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4"/>
          </reference>
          <reference field="1" count="1">
            <x v="193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76"/>
          </reference>
          <reference field="1" count="1">
            <x v="186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216"/>
          </reference>
          <reference field="1" count="1">
            <x v="25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51"/>
          </reference>
          <reference field="1" count="1">
            <x v="145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48"/>
          </reference>
          <reference field="1" count="1">
            <x v="141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03"/>
          </reference>
          <reference field="1" count="1">
            <x v="22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41"/>
          </reference>
          <reference field="1" count="1">
            <x v="148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2"/>
          </reference>
          <reference field="1" count="1">
            <x v="1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2"/>
          </reference>
          <reference field="1" count="1">
            <x v="202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2"/>
          </reference>
          <reference field="1" count="1">
            <x v="30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55"/>
          </reference>
          <reference field="1" count="1">
            <x v="56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61"/>
          </reference>
          <reference field="1" count="1">
            <x v="12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57"/>
          </reference>
          <reference field="1" count="1">
            <x v="66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85"/>
          </reference>
          <reference field="1" count="1">
            <x v="36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0"/>
          </reference>
          <reference field="1" count="1">
            <x v="190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70"/>
          </reference>
          <reference field="1" count="1">
            <x v="102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6"/>
          </reference>
          <reference field="1" count="1">
            <x v="199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95"/>
          </reference>
          <reference field="1" count="1">
            <x v="121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3"/>
          </reference>
          <reference field="1" count="1">
            <x v="207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4"/>
          </reference>
          <reference field="1" count="1">
            <x v="177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217"/>
          </reference>
          <reference field="1" count="1">
            <x v="3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02"/>
          </reference>
          <reference field="1" count="1">
            <x v="34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208"/>
          </reference>
          <reference field="1" count="1">
            <x v="133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5"/>
          </reference>
          <reference field="1" count="1">
            <x v="85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0"/>
          </reference>
          <reference field="1" count="1">
            <x v="171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73"/>
          </reference>
          <reference field="1" count="1">
            <x v="1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90"/>
          </reference>
          <reference field="1" count="1">
            <x v="206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99"/>
          </reference>
          <reference field="1" count="1">
            <x v="46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68"/>
          </reference>
          <reference field="1" count="1">
            <x v="79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89"/>
          </reference>
          <reference field="1" count="1">
            <x v="0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88"/>
          </reference>
          <reference field="1" count="1">
            <x v="194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60"/>
          </reference>
          <reference field="1" count="1">
            <x v="19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46"/>
          </reference>
          <reference field="1" count="1">
            <x v="8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141"/>
          </reference>
          <reference field="1" count="1">
            <x v="108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81"/>
          </reference>
          <reference field="1" count="1">
            <x v="110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195"/>
          </reference>
          <reference field="1" count="1">
            <x v="94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124"/>
          </reference>
          <reference field="1" count="1">
            <x v="4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97"/>
          </reference>
          <reference field="1" count="1">
            <x v="57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96"/>
          </reference>
          <reference field="1" count="1">
            <x v="39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35"/>
          </reference>
          <reference field="1" count="1">
            <x v="28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46"/>
          </reference>
          <reference field="1" count="1">
            <x v="93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44"/>
          </reference>
          <reference field="1" count="1">
            <x v="89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08"/>
          </reference>
          <reference field="1" count="1">
            <x v="76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99"/>
          </reference>
          <reference field="1" count="1">
            <x v="155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62"/>
          </reference>
          <reference field="1" count="1">
            <x v="70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84"/>
          </reference>
          <reference field="1" count="1">
            <x v="182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39"/>
          </reference>
          <reference field="1" count="1">
            <x v="106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61"/>
          </reference>
          <reference field="1" count="1">
            <x v="120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211"/>
          </reference>
          <reference field="1" count="1">
            <x v="210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67"/>
          </reference>
          <reference field="1" count="1">
            <x v="63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215"/>
          </reference>
          <reference field="1" count="1">
            <x v="33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50"/>
          </reference>
          <reference field="1" count="1">
            <x v="54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71"/>
          </reference>
          <reference field="1" count="1">
            <x v="203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49"/>
          </reference>
          <reference field="1" count="1">
            <x v="5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90"/>
          </reference>
          <reference field="1" count="1">
            <x v="178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07"/>
          </reference>
          <reference field="1" count="1">
            <x v="212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204"/>
          </reference>
          <reference field="1" count="1">
            <x v="132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53"/>
          </reference>
          <reference field="1" count="1">
            <x v="49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82"/>
          </reference>
          <reference field="1" count="1">
            <x v="149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27"/>
          </reference>
          <reference field="1" count="1">
            <x v="10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218"/>
          </reference>
          <reference field="1" count="1">
            <x v="45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06"/>
          </reference>
          <reference field="1" count="1">
            <x v="134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85"/>
          </reference>
          <reference field="1" count="1">
            <x v="73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56"/>
          </reference>
          <reference field="1" count="1">
            <x v="158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9"/>
          </reference>
          <reference field="1" count="1">
            <x v="163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15"/>
          </reference>
          <reference field="1" count="1">
            <x v="151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63"/>
          </reference>
          <reference field="1" count="1">
            <x v="116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93"/>
          </reference>
          <reference field="1" count="1">
            <x v="65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137"/>
          </reference>
          <reference field="1" count="1">
            <x v="152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22"/>
          </reference>
          <reference field="1" count="1">
            <x v="172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98"/>
          </reference>
          <reference field="1" count="1">
            <x v="80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29"/>
          </reference>
          <reference field="1" count="1">
            <x v="125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8"/>
          </reference>
          <reference field="1" count="1">
            <x v="189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89"/>
          </reference>
          <reference field="1" count="1">
            <x v="6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54"/>
          </reference>
          <reference field="1" count="1">
            <x v="142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69"/>
          </reference>
          <reference field="1" count="1">
            <x v="208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210"/>
          </reference>
          <reference field="1" count="1">
            <x v="4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97"/>
          </reference>
          <reference field="1" count="1">
            <x v="82"/>
          </reference>
        </references>
      </pivotArea>
    </format>
    <format dxfId="54">
      <pivotArea dataOnly="0" labelOnly="1" outline="0" axis="axisValues" fieldPosition="0"/>
    </format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54EC2-20A4-497D-B2B2-D29EDD9C9315}" name="Campaigns_By_ROI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 rowHeaderCaption="Campaign ID and Campaign Name">
  <location ref="A3:C223" firstHeaderRow="1" firstDataRow="1" firstDataCol="2"/>
  <pivotFields count="22">
    <pivotField axis="axisRow" compact="0" outline="0" showAll="0" sortType="ascending" defaultSubtotal="0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</items>
    </pivotField>
    <pivotField axis="axisRow" compact="0" outline="0" showAll="0" measureFilter="1" sortType="descending" defaultSubtotal="0">
      <items count="214">
        <item x="88"/>
        <item x="170"/>
        <item x="100"/>
        <item x="211"/>
        <item x="204"/>
        <item x="48"/>
        <item x="185"/>
        <item x="39"/>
        <item x="44"/>
        <item x="125"/>
        <item x="27"/>
        <item x="168"/>
        <item x="158"/>
        <item x="203"/>
        <item x="144"/>
        <item x="179"/>
        <item x="12"/>
        <item x="67"/>
        <item x="74"/>
        <item x="59"/>
        <item x="140"/>
        <item x="46"/>
        <item x="102"/>
        <item x="112"/>
        <item x="206"/>
        <item x="210"/>
        <item x="3"/>
        <item x="16"/>
        <item x="35"/>
        <item x="76"/>
        <item x="2"/>
        <item x="36"/>
        <item x="195"/>
        <item x="209"/>
        <item x="101"/>
        <item x="172"/>
        <item x="84"/>
        <item x="149"/>
        <item x="19"/>
        <item x="191"/>
        <item x="64"/>
        <item x="1"/>
        <item x="104"/>
        <item x="79"/>
        <item x="122"/>
        <item x="212"/>
        <item x="194"/>
        <item x="128"/>
        <item x="121"/>
        <item x="150"/>
        <item x="196"/>
        <item x="82"/>
        <item x="163"/>
        <item x="178"/>
        <item x="49"/>
        <item x="91"/>
        <item x="152"/>
        <item x="192"/>
        <item x="111"/>
        <item x="5"/>
        <item x="108"/>
        <item x="71"/>
        <item x="113"/>
        <item x="66"/>
        <item x="116"/>
        <item x="189"/>
        <item x="154"/>
        <item x="103"/>
        <item x="155"/>
        <item x="167"/>
        <item x="61"/>
        <item x="142"/>
        <item x="176"/>
        <item x="181"/>
        <item x="43"/>
        <item x="193"/>
        <item x="107"/>
        <item x="207"/>
        <item x="157"/>
        <item x="165"/>
        <item x="97"/>
        <item x="77"/>
        <item x="96"/>
        <item x="197"/>
        <item x="78"/>
        <item x="15"/>
        <item x="25"/>
        <item x="73"/>
        <item x="131"/>
        <item x="141"/>
        <item x="11"/>
        <item x="159"/>
        <item x="21"/>
        <item x="143"/>
        <item x="190"/>
        <item x="63"/>
        <item x="123"/>
        <item x="187"/>
        <item x="53"/>
        <item x="188"/>
        <item x="124"/>
        <item x="65"/>
        <item x="69"/>
        <item x="130"/>
        <item x="175"/>
        <item x="95"/>
        <item x="136"/>
        <item x="57"/>
        <item x="138"/>
        <item x="147"/>
        <item x="80"/>
        <item x="117"/>
        <item x="126"/>
        <item x="184"/>
        <item x="32"/>
        <item x="118"/>
        <item x="160"/>
        <item x="26"/>
        <item x="137"/>
        <item x="135"/>
        <item x="60"/>
        <item x="94"/>
        <item x="22"/>
        <item x="198"/>
        <item x="54"/>
        <item x="29"/>
        <item x="177"/>
        <item x="23"/>
        <item x="33"/>
        <item x="199"/>
        <item x="200"/>
        <item x="115"/>
        <item x="161"/>
        <item x="202"/>
        <item x="105"/>
        <item x="86"/>
        <item x="129"/>
        <item x="148"/>
        <item x="58"/>
        <item x="169"/>
        <item x="38"/>
        <item x="47"/>
        <item x="151"/>
        <item x="34"/>
        <item x="40"/>
        <item x="50"/>
        <item x="62"/>
        <item x="99"/>
        <item x="41"/>
        <item x="81"/>
        <item x="68"/>
        <item x="114"/>
        <item x="134"/>
        <item x="164"/>
        <item x="55"/>
        <item x="98"/>
        <item x="146"/>
        <item x="45"/>
        <item x="153"/>
        <item x="145"/>
        <item x="17"/>
        <item x="52"/>
        <item x="109"/>
        <item x="9"/>
        <item x="72"/>
        <item x="156"/>
        <item x="85"/>
        <item x="132"/>
        <item x="37"/>
        <item x="133"/>
        <item x="171"/>
        <item x="10"/>
        <item x="120"/>
        <item x="8"/>
        <item x="31"/>
        <item x="183"/>
        <item x="201"/>
        <item x="14"/>
        <item x="89"/>
        <item x="127"/>
        <item x="24"/>
        <item x="20"/>
        <item x="180"/>
        <item x="92"/>
        <item x="93"/>
        <item x="174"/>
        <item x="75"/>
        <item x="83"/>
        <item x="51"/>
        <item x="18"/>
        <item x="0"/>
        <item x="182"/>
        <item x="28"/>
        <item x="4"/>
        <item x="87"/>
        <item x="90"/>
        <item x="110"/>
        <item x="213"/>
        <item x="162"/>
        <item x="6"/>
        <item x="173"/>
        <item x="56"/>
        <item x="139"/>
        <item x="70"/>
        <item x="119"/>
        <item x="208"/>
        <item x="186"/>
        <item x="13"/>
        <item x="166"/>
        <item x="30"/>
        <item x="205"/>
        <item x="7"/>
        <item x="106"/>
        <item x="4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numFmtId="14" outline="0" showAll="0" defaultSubtotal="0">
      <items count="153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</items>
    </pivotField>
    <pivotField compact="0" numFmtId="14" outline="0" showAll="0" defaultSubtotal="0">
      <items count="166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</items>
    </pivotField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dragToRow="0" dragToCol="0" dragToPage="0" showAll="0" defaultSubtotal="0"/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0"/>
    <field x="1"/>
  </rowFields>
  <rowItems count="220">
    <i>
      <x/>
      <x v="190"/>
    </i>
    <i>
      <x v="1"/>
      <x v="41"/>
    </i>
    <i>
      <x v="2"/>
      <x v="30"/>
    </i>
    <i>
      <x v="3"/>
      <x v="26"/>
    </i>
    <i>
      <x v="4"/>
      <x v="193"/>
    </i>
    <i>
      <x v="5"/>
      <x v="59"/>
    </i>
    <i>
      <x v="6"/>
      <x v="199"/>
    </i>
    <i>
      <x v="7"/>
      <x v="211"/>
    </i>
    <i>
      <x v="8"/>
      <x v="173"/>
    </i>
    <i>
      <x v="9"/>
      <x v="163"/>
    </i>
    <i>
      <x v="10"/>
      <x v="171"/>
    </i>
    <i>
      <x v="11"/>
      <x v="90"/>
    </i>
    <i>
      <x v="12"/>
      <x v="16"/>
    </i>
    <i>
      <x v="13"/>
      <x v="207"/>
    </i>
    <i>
      <x v="14"/>
      <x v="177"/>
    </i>
    <i>
      <x v="15"/>
      <x v="85"/>
    </i>
    <i>
      <x v="16"/>
      <x v="27"/>
    </i>
    <i>
      <x v="17"/>
      <x v="160"/>
    </i>
    <i>
      <x v="18"/>
      <x v="189"/>
    </i>
    <i>
      <x v="19"/>
      <x v="38"/>
    </i>
    <i>
      <x v="20"/>
      <x v="181"/>
    </i>
    <i>
      <x v="21"/>
      <x v="92"/>
    </i>
    <i>
      <x v="22"/>
      <x v="122"/>
    </i>
    <i>
      <x v="23"/>
      <x v="127"/>
    </i>
    <i>
      <x v="24"/>
      <x v="180"/>
    </i>
    <i>
      <x v="25"/>
      <x v="86"/>
    </i>
    <i>
      <x v="26"/>
      <x v="117"/>
    </i>
    <i>
      <x v="27"/>
      <x v="10"/>
    </i>
    <i>
      <x v="28"/>
      <x v="192"/>
    </i>
    <i>
      <x v="29"/>
      <x v="125"/>
    </i>
    <i>
      <x v="30"/>
      <x v="209"/>
    </i>
    <i>
      <x v="31"/>
      <x v="174"/>
    </i>
    <i>
      <x v="32"/>
      <x v="114"/>
    </i>
    <i>
      <x v="33"/>
      <x v="128"/>
    </i>
    <i>
      <x v="34"/>
      <x v="143"/>
    </i>
    <i>
      <x v="35"/>
      <x v="28"/>
    </i>
    <i>
      <x v="36"/>
      <x v="31"/>
    </i>
    <i>
      <x v="37"/>
      <x v="168"/>
    </i>
    <i>
      <x v="38"/>
      <x v="140"/>
    </i>
    <i>
      <x v="39"/>
      <x v="7"/>
    </i>
    <i>
      <x v="40"/>
      <x v="144"/>
    </i>
    <i>
      <x v="41"/>
      <x v="148"/>
    </i>
    <i>
      <x v="42"/>
      <x v="213"/>
    </i>
    <i>
      <x v="43"/>
      <x v="74"/>
    </i>
    <i>
      <x v="44"/>
      <x v="8"/>
    </i>
    <i>
      <x v="45"/>
      <x v="157"/>
    </i>
    <i>
      <x v="46"/>
      <x v="8"/>
    </i>
    <i>
      <x v="47"/>
      <x v="21"/>
    </i>
    <i>
      <x v="48"/>
      <x v="141"/>
    </i>
    <i>
      <x v="49"/>
      <x v="5"/>
    </i>
    <i>
      <x v="50"/>
      <x v="54"/>
    </i>
    <i>
      <x v="51"/>
      <x v="145"/>
    </i>
    <i>
      <x v="52"/>
      <x v="188"/>
    </i>
    <i>
      <x v="53"/>
      <x v="161"/>
    </i>
    <i>
      <x v="54"/>
      <x v="98"/>
    </i>
    <i>
      <x v="55"/>
      <x v="124"/>
    </i>
    <i>
      <x v="56"/>
      <x v="154"/>
    </i>
    <i>
      <x v="57"/>
      <x v="201"/>
    </i>
    <i>
      <x v="58"/>
      <x v="107"/>
    </i>
    <i>
      <x v="59"/>
      <x v="138"/>
    </i>
    <i>
      <x v="60"/>
      <x v="19"/>
    </i>
    <i>
      <x v="61"/>
      <x v="120"/>
    </i>
    <i>
      <x v="62"/>
      <x v="70"/>
    </i>
    <i>
      <x v="63"/>
      <x v="146"/>
    </i>
    <i>
      <x v="64"/>
      <x v="95"/>
    </i>
    <i>
      <x v="65"/>
      <x v="40"/>
    </i>
    <i>
      <x v="66"/>
      <x v="101"/>
    </i>
    <i>
      <x v="67"/>
      <x v="63"/>
    </i>
    <i>
      <x v="68"/>
      <x v="17"/>
    </i>
    <i>
      <x v="69"/>
      <x v="150"/>
    </i>
    <i>
      <x v="70"/>
      <x v="102"/>
    </i>
    <i>
      <x v="71"/>
      <x v="203"/>
    </i>
    <i>
      <x v="72"/>
      <x v="61"/>
    </i>
    <i>
      <x v="73"/>
      <x v="164"/>
    </i>
    <i>
      <x v="74"/>
      <x v="87"/>
    </i>
    <i>
      <x v="75"/>
      <x v="18"/>
    </i>
    <i>
      <x v="76"/>
      <x v="186"/>
    </i>
    <i>
      <x v="77"/>
      <x v="29"/>
    </i>
    <i>
      <x v="78"/>
      <x v="81"/>
    </i>
    <i>
      <x v="79"/>
      <x v="84"/>
    </i>
    <i>
      <x v="80"/>
      <x v="43"/>
    </i>
    <i>
      <x v="81"/>
      <x v="110"/>
    </i>
    <i>
      <x v="82"/>
      <x v="149"/>
    </i>
    <i>
      <x v="83"/>
      <x v="51"/>
    </i>
    <i>
      <x v="84"/>
      <x v="187"/>
    </i>
    <i>
      <x v="85"/>
      <x v="36"/>
    </i>
    <i>
      <x v="86"/>
      <x v="166"/>
    </i>
    <i>
      <x v="87"/>
      <x v="135"/>
    </i>
    <i>
      <x v="88"/>
      <x v="194"/>
    </i>
    <i>
      <x v="89"/>
      <x/>
    </i>
    <i>
      <x v="90"/>
      <x v="178"/>
    </i>
    <i>
      <x v="91"/>
      <x v="195"/>
    </i>
    <i>
      <x v="92"/>
      <x v="55"/>
    </i>
    <i>
      <x v="93"/>
      <x v="183"/>
    </i>
    <i>
      <x v="94"/>
      <x v="184"/>
    </i>
    <i>
      <x v="95"/>
      <x v="121"/>
    </i>
    <i>
      <x v="96"/>
      <x v="105"/>
    </i>
    <i>
      <x v="97"/>
      <x v="82"/>
    </i>
    <i>
      <x v="98"/>
      <x v="80"/>
    </i>
    <i>
      <x v="99"/>
      <x v="155"/>
    </i>
    <i>
      <x v="100"/>
      <x v="147"/>
    </i>
    <i>
      <x v="101"/>
      <x v="2"/>
    </i>
    <i>
      <x v="102"/>
      <x v="34"/>
    </i>
    <i>
      <x v="103"/>
      <x v="22"/>
    </i>
    <i>
      <x v="104"/>
      <x v="67"/>
    </i>
    <i>
      <x v="105"/>
      <x v="42"/>
    </i>
    <i>
      <x v="106"/>
      <x v="134"/>
    </i>
    <i>
      <x v="107"/>
      <x v="212"/>
    </i>
    <i>
      <x v="108"/>
      <x v="76"/>
    </i>
    <i>
      <x v="109"/>
      <x v="60"/>
    </i>
    <i>
      <x v="110"/>
      <x v="162"/>
    </i>
    <i>
      <x v="111"/>
      <x v="196"/>
    </i>
    <i>
      <x v="112"/>
      <x v="58"/>
    </i>
    <i>
      <x v="113"/>
      <x v="23"/>
    </i>
    <i>
      <x v="114"/>
      <x v="62"/>
    </i>
    <i>
      <x v="115"/>
      <x v="151"/>
    </i>
    <i>
      <x v="116"/>
      <x v="131"/>
    </i>
    <i>
      <x v="117"/>
      <x v="29"/>
    </i>
    <i>
      <x v="118"/>
      <x v="64"/>
    </i>
    <i>
      <x v="119"/>
      <x v="111"/>
    </i>
    <i>
      <x v="120"/>
      <x v="115"/>
    </i>
    <i>
      <x v="121"/>
      <x v="204"/>
    </i>
    <i>
      <x v="122"/>
      <x v="172"/>
    </i>
    <i>
      <x v="123"/>
      <x v="48"/>
    </i>
    <i>
      <x v="124"/>
      <x v="44"/>
    </i>
    <i>
      <x v="125"/>
      <x v="96"/>
    </i>
    <i>
      <x v="126"/>
      <x v="100"/>
    </i>
    <i>
      <x v="127"/>
      <x v="9"/>
    </i>
    <i>
      <x v="128"/>
      <x v="112"/>
    </i>
    <i>
      <x v="129"/>
      <x v="179"/>
    </i>
    <i>
      <x v="130"/>
      <x v="192"/>
    </i>
    <i>
      <x v="131"/>
      <x v="47"/>
    </i>
    <i>
      <x v="132"/>
      <x v="136"/>
    </i>
    <i>
      <x v="133"/>
      <x v="103"/>
    </i>
    <i>
      <x v="134"/>
      <x v="88"/>
    </i>
    <i>
      <x v="135"/>
      <x v="167"/>
    </i>
    <i>
      <x v="136"/>
      <x v="169"/>
    </i>
    <i>
      <x v="137"/>
      <x v="152"/>
    </i>
    <i>
      <x v="138"/>
      <x v="119"/>
    </i>
    <i>
      <x v="139"/>
      <x v="106"/>
    </i>
    <i>
      <x v="140"/>
      <x v="118"/>
    </i>
    <i>
      <x v="141"/>
      <x v="108"/>
    </i>
    <i>
      <x v="142"/>
      <x v="202"/>
    </i>
    <i>
      <x v="143"/>
      <x v="20"/>
    </i>
    <i>
      <x v="144"/>
      <x v="89"/>
    </i>
    <i>
      <x v="145"/>
      <x v="71"/>
    </i>
    <i>
      <x v="146"/>
      <x v="93"/>
    </i>
    <i>
      <x v="147"/>
      <x v="14"/>
    </i>
    <i>
      <x v="148"/>
      <x v="159"/>
    </i>
    <i>
      <x v="149"/>
      <x v="156"/>
    </i>
    <i>
      <x v="150"/>
      <x v="109"/>
    </i>
    <i>
      <x v="151"/>
      <x v="137"/>
    </i>
    <i>
      <x v="152"/>
      <x v="37"/>
    </i>
    <i>
      <x v="153"/>
      <x v="49"/>
    </i>
    <i>
      <x v="154"/>
      <x v="142"/>
    </i>
    <i>
      <x v="155"/>
      <x v="56"/>
    </i>
    <i>
      <x v="156"/>
      <x v="158"/>
    </i>
    <i>
      <x v="157"/>
      <x v="66"/>
    </i>
    <i>
      <x v="158"/>
      <x v="68"/>
    </i>
    <i>
      <x v="159"/>
      <x v="165"/>
    </i>
    <i>
      <x v="160"/>
      <x v="78"/>
    </i>
    <i>
      <x v="161"/>
      <x v="12"/>
    </i>
    <i>
      <x v="162"/>
      <x v="91"/>
    </i>
    <i>
      <x v="163"/>
      <x v="116"/>
    </i>
    <i>
      <x v="164"/>
      <x v="132"/>
    </i>
    <i>
      <x v="165"/>
      <x v="198"/>
    </i>
    <i>
      <x v="166"/>
      <x v="52"/>
    </i>
    <i>
      <x v="167"/>
      <x v="153"/>
    </i>
    <i>
      <x v="168"/>
      <x v="79"/>
    </i>
    <i>
      <x v="169"/>
      <x v="208"/>
    </i>
    <i>
      <x v="170"/>
      <x v="69"/>
    </i>
    <i>
      <x v="171"/>
      <x v="11"/>
    </i>
    <i>
      <x v="172"/>
      <x v="139"/>
    </i>
    <i>
      <x v="173"/>
      <x v="1"/>
    </i>
    <i>
      <x v="174"/>
      <x v="93"/>
    </i>
    <i>
      <x v="175"/>
      <x v="170"/>
    </i>
    <i>
      <x v="176"/>
      <x v="35"/>
    </i>
    <i>
      <x v="177"/>
      <x v="200"/>
    </i>
    <i>
      <x v="178"/>
      <x v="185"/>
    </i>
    <i>
      <x v="179"/>
      <x v="104"/>
    </i>
    <i>
      <x v="180"/>
      <x v="72"/>
    </i>
    <i>
      <x v="181"/>
      <x v="126"/>
    </i>
    <i>
      <x v="182"/>
      <x v="53"/>
    </i>
    <i>
      <x v="183"/>
      <x v="15"/>
    </i>
    <i>
      <x v="184"/>
      <x v="182"/>
    </i>
    <i>
      <x v="185"/>
      <x v="73"/>
    </i>
    <i>
      <x v="186"/>
      <x v="191"/>
    </i>
    <i>
      <x v="187"/>
      <x v="175"/>
    </i>
    <i>
      <x v="188"/>
      <x v="113"/>
    </i>
    <i>
      <x v="189"/>
      <x v="6"/>
    </i>
    <i>
      <x v="190"/>
      <x v="206"/>
    </i>
    <i>
      <x v="191"/>
      <x v="97"/>
    </i>
    <i>
      <x v="192"/>
      <x v="99"/>
    </i>
    <i>
      <x v="193"/>
      <x v="65"/>
    </i>
    <i>
      <x v="194"/>
      <x v="99"/>
    </i>
    <i>
      <x v="195"/>
      <x v="94"/>
    </i>
    <i>
      <x v="196"/>
      <x v="39"/>
    </i>
    <i>
      <x v="197"/>
      <x v="57"/>
    </i>
    <i>
      <x v="198"/>
      <x v="75"/>
    </i>
    <i>
      <x v="199"/>
      <x v="46"/>
    </i>
    <i>
      <x v="200"/>
      <x v="32"/>
    </i>
    <i>
      <x v="201"/>
      <x v="50"/>
    </i>
    <i>
      <x v="202"/>
      <x v="83"/>
    </i>
    <i>
      <x v="203"/>
      <x v="123"/>
    </i>
    <i>
      <x v="204"/>
      <x v="132"/>
    </i>
    <i>
      <x v="205"/>
      <x v="129"/>
    </i>
    <i>
      <x v="206"/>
      <x v="130"/>
    </i>
    <i>
      <x v="207"/>
      <x v="176"/>
    </i>
    <i>
      <x v="208"/>
      <x v="133"/>
    </i>
    <i>
      <x v="209"/>
      <x v="13"/>
    </i>
    <i>
      <x v="210"/>
      <x v="4"/>
    </i>
    <i>
      <x v="211"/>
      <x v="210"/>
    </i>
    <i>
      <x v="212"/>
      <x v="24"/>
    </i>
    <i>
      <x v="213"/>
      <x v="77"/>
    </i>
    <i>
      <x v="214"/>
      <x v="205"/>
    </i>
    <i>
      <x v="215"/>
      <x v="33"/>
    </i>
    <i>
      <x v="216"/>
      <x v="25"/>
    </i>
    <i>
      <x v="217"/>
      <x v="3"/>
    </i>
    <i>
      <x v="218"/>
      <x v="45"/>
    </i>
    <i>
      <x v="219"/>
      <x v="197"/>
    </i>
  </rowItems>
  <colItems count="1">
    <i/>
  </colItems>
  <dataFields count="1">
    <dataField name="Return On Investment (%)" fld="15" baseField="1" baseItem="199" numFmtId="9"/>
  </dataFields>
  <formats count="235">
    <format dxfId="519">
      <pivotArea outline="0" collapsedLevelsAreSubtotals="1" fieldPosition="0"/>
    </format>
    <format dxfId="518">
      <pivotArea outline="0" fieldPosition="0">
        <references count="2">
          <reference field="0" count="1" selected="0">
            <x v="2"/>
          </reference>
          <reference field="1" count="1" selected="0">
            <x v="30"/>
          </reference>
        </references>
      </pivotArea>
    </format>
    <format dxfId="517">
      <pivotArea outline="0" fieldPosition="0">
        <references count="2">
          <reference field="0" count="1" selected="0">
            <x v="11"/>
          </reference>
          <reference field="1" count="1" selected="0">
            <x v="90"/>
          </reference>
        </references>
      </pivotArea>
    </format>
    <format dxfId="516">
      <pivotArea outline="0" fieldPosition="0">
        <references count="2">
          <reference field="0" count="1" selected="0">
            <x v="18"/>
          </reference>
          <reference field="1" count="1" selected="0">
            <x v="189"/>
          </reference>
        </references>
      </pivotArea>
    </format>
    <format dxfId="515">
      <pivotArea outline="0" fieldPosition="0">
        <references count="2">
          <reference field="0" count="1" selected="0">
            <x v="145"/>
          </reference>
          <reference field="1" count="1" selected="0">
            <x v="71"/>
          </reference>
        </references>
      </pivotArea>
    </format>
    <format dxfId="514">
      <pivotArea type="all" dataOnly="0" outline="0" fieldPosition="0"/>
    </format>
    <format dxfId="513">
      <pivotArea outline="0" collapsedLevelsAreSubtotals="1" fieldPosition="0"/>
    </format>
    <format dxfId="512">
      <pivotArea field="0" type="button" dataOnly="0" labelOnly="1" outline="0" axis="axisRow" fieldPosition="0"/>
    </format>
    <format dxfId="511">
      <pivotArea field="1" type="button" dataOnly="0" labelOnly="1" outline="0" axis="axisRow" fieldPosition="1"/>
    </format>
    <format dxfId="510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09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08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07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06">
      <pivotArea dataOnly="0" labelOnly="1" outline="0" fieldPosition="0">
        <references count="1">
          <reference field="0" count="2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0"/>
          </reference>
          <reference field="1" count="1">
            <x v="190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1"/>
          </reference>
          <reference field="1" count="1">
            <x v="41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2"/>
          </reference>
          <reference field="1" count="1">
            <x v="30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3"/>
          </reference>
          <reference field="1" count="1">
            <x v="26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4"/>
          </reference>
          <reference field="1" count="1">
            <x v="193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5"/>
          </reference>
          <reference field="1" count="1">
            <x v="59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6"/>
          </reference>
          <reference field="1" count="1">
            <x v="199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7"/>
          </reference>
          <reference field="1" count="1">
            <x v="211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8"/>
          </reference>
          <reference field="1" count="1">
            <x v="173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9"/>
          </reference>
          <reference field="1" count="1">
            <x v="163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10"/>
          </reference>
          <reference field="1" count="1">
            <x v="171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11"/>
          </reference>
          <reference field="1" count="1">
            <x v="90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12"/>
          </reference>
          <reference field="1" count="1">
            <x v="16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13"/>
          </reference>
          <reference field="1" count="1">
            <x v="207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14"/>
          </reference>
          <reference field="1" count="1">
            <x v="177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15"/>
          </reference>
          <reference field="1" count="1">
            <x v="85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16"/>
          </reference>
          <reference field="1" count="1">
            <x v="27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17"/>
          </reference>
          <reference field="1" count="1">
            <x v="160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18"/>
          </reference>
          <reference field="1" count="1">
            <x v="189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19"/>
          </reference>
          <reference field="1" count="1">
            <x v="38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20"/>
          </reference>
          <reference field="1" count="1">
            <x v="181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21"/>
          </reference>
          <reference field="1" count="1">
            <x v="92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22"/>
          </reference>
          <reference field="1" count="1">
            <x v="122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23"/>
          </reference>
          <reference field="1" count="1">
            <x v="127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24"/>
          </reference>
          <reference field="1" count="1">
            <x v="180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25"/>
          </reference>
          <reference field="1" count="1">
            <x v="86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26"/>
          </reference>
          <reference field="1" count="1">
            <x v="117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27"/>
          </reference>
          <reference field="1" count="1">
            <x v="10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28"/>
          </reference>
          <reference field="1" count="1">
            <x v="192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29"/>
          </reference>
          <reference field="1" count="1">
            <x v="125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30"/>
          </reference>
          <reference field="1" count="1">
            <x v="209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31"/>
          </reference>
          <reference field="1" count="1">
            <x v="174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32"/>
          </reference>
          <reference field="1" count="1">
            <x v="114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33"/>
          </reference>
          <reference field="1" count="1">
            <x v="128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34"/>
          </reference>
          <reference field="1" count="1">
            <x v="143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35"/>
          </reference>
          <reference field="1" count="1">
            <x v="28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36"/>
          </reference>
          <reference field="1" count="1">
            <x v="31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37"/>
          </reference>
          <reference field="1" count="1">
            <x v="168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38"/>
          </reference>
          <reference field="1" count="1">
            <x v="140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39"/>
          </reference>
          <reference field="1" count="1">
            <x v="7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40"/>
          </reference>
          <reference field="1" count="1">
            <x v="144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41"/>
          </reference>
          <reference field="1" count="1">
            <x v="148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42"/>
          </reference>
          <reference field="1" count="1">
            <x v="213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43"/>
          </reference>
          <reference field="1" count="1">
            <x v="74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44"/>
          </reference>
          <reference field="1" count="1">
            <x v="8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45"/>
          </reference>
          <reference field="1" count="1">
            <x v="157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46"/>
          </reference>
          <reference field="1" count="1">
            <x v="8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47"/>
          </reference>
          <reference field="1" count="1">
            <x v="21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48"/>
          </reference>
          <reference field="1" count="1">
            <x v="141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49"/>
          </reference>
          <reference field="1" count="1">
            <x v="5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50"/>
          </reference>
          <reference field="1" count="1">
            <x v="54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51"/>
          </reference>
          <reference field="1" count="1">
            <x v="145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52"/>
          </reference>
          <reference field="1" count="1">
            <x v="188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53"/>
          </reference>
          <reference field="1" count="1">
            <x v="161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54"/>
          </reference>
          <reference field="1" count="1">
            <x v="98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55"/>
          </reference>
          <reference field="1" count="1">
            <x v="124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56"/>
          </reference>
          <reference field="1" count="1">
            <x v="154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57"/>
          </reference>
          <reference field="1" count="1">
            <x v="201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58"/>
          </reference>
          <reference field="1" count="1">
            <x v="107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59"/>
          </reference>
          <reference field="1" count="1">
            <x v="138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60"/>
          </reference>
          <reference field="1" count="1">
            <x v="19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61"/>
          </reference>
          <reference field="1" count="1">
            <x v="120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62"/>
          </reference>
          <reference field="1" count="1">
            <x v="70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63"/>
          </reference>
          <reference field="1" count="1">
            <x v="146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64"/>
          </reference>
          <reference field="1" count="1">
            <x v="95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65"/>
          </reference>
          <reference field="1" count="1">
            <x v="40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66"/>
          </reference>
          <reference field="1" count="1">
            <x v="101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67"/>
          </reference>
          <reference field="1" count="1">
            <x v="63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68"/>
          </reference>
          <reference field="1" count="1">
            <x v="17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69"/>
          </reference>
          <reference field="1" count="1">
            <x v="150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70"/>
          </reference>
          <reference field="1" count="1">
            <x v="102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71"/>
          </reference>
          <reference field="1" count="1">
            <x v="203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72"/>
          </reference>
          <reference field="1" count="1">
            <x v="61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73"/>
          </reference>
          <reference field="1" count="1">
            <x v="164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74"/>
          </reference>
          <reference field="1" count="1">
            <x v="87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75"/>
          </reference>
          <reference field="1" count="1">
            <x v="18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76"/>
          </reference>
          <reference field="1" count="1">
            <x v="186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77"/>
          </reference>
          <reference field="1" count="1">
            <x v="29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78"/>
          </reference>
          <reference field="1" count="1">
            <x v="81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79"/>
          </reference>
          <reference field="1" count="1">
            <x v="84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80"/>
          </reference>
          <reference field="1" count="1">
            <x v="43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81"/>
          </reference>
          <reference field="1" count="1">
            <x v="110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82"/>
          </reference>
          <reference field="1" count="1">
            <x v="149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83"/>
          </reference>
          <reference field="1" count="1">
            <x v="51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84"/>
          </reference>
          <reference field="1" count="1">
            <x v="187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85"/>
          </reference>
          <reference field="1" count="1">
            <x v="36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86"/>
          </reference>
          <reference field="1" count="1">
            <x v="166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87"/>
          </reference>
          <reference field="1" count="1">
            <x v="135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88"/>
          </reference>
          <reference field="1" count="1">
            <x v="194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89"/>
          </reference>
          <reference field="1" count="1">
            <x v="0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90"/>
          </reference>
          <reference field="1" count="1">
            <x v="178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91"/>
          </reference>
          <reference field="1" count="1">
            <x v="195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92"/>
          </reference>
          <reference field="1" count="1">
            <x v="55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93"/>
          </reference>
          <reference field="1" count="1">
            <x v="183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94"/>
          </reference>
          <reference field="1" count="1">
            <x v="184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95"/>
          </reference>
          <reference field="1" count="1">
            <x v="121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96"/>
          </reference>
          <reference field="1" count="1">
            <x v="105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97"/>
          </reference>
          <reference field="1" count="1">
            <x v="82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98"/>
          </reference>
          <reference field="1" count="1">
            <x v="80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99"/>
          </reference>
          <reference field="1" count="1">
            <x v="155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100"/>
          </reference>
          <reference field="1" count="1">
            <x v="147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101"/>
          </reference>
          <reference field="1" count="1">
            <x v="2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102"/>
          </reference>
          <reference field="1" count="1">
            <x v="34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103"/>
          </reference>
          <reference field="1" count="1">
            <x v="22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104"/>
          </reference>
          <reference field="1" count="1">
            <x v="67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105"/>
          </reference>
          <reference field="1" count="1">
            <x v="42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106"/>
          </reference>
          <reference field="1" count="1">
            <x v="134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107"/>
          </reference>
          <reference field="1" count="1">
            <x v="212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108"/>
          </reference>
          <reference field="1" count="1">
            <x v="76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109"/>
          </reference>
          <reference field="1" count="1">
            <x v="60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110"/>
          </reference>
          <reference field="1" count="1">
            <x v="162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111"/>
          </reference>
          <reference field="1" count="1">
            <x v="196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112"/>
          </reference>
          <reference field="1" count="1">
            <x v="58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113"/>
          </reference>
          <reference field="1" count="1">
            <x v="23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114"/>
          </reference>
          <reference field="1" count="1">
            <x v="62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115"/>
          </reference>
          <reference field="1" count="1">
            <x v="151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116"/>
          </reference>
          <reference field="1" count="1">
            <x v="131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117"/>
          </reference>
          <reference field="1" count="1">
            <x v="29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118"/>
          </reference>
          <reference field="1" count="1">
            <x v="64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119"/>
          </reference>
          <reference field="1" count="1">
            <x v="111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120"/>
          </reference>
          <reference field="1" count="1">
            <x v="115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121"/>
          </reference>
          <reference field="1" count="1">
            <x v="204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122"/>
          </reference>
          <reference field="1" count="1">
            <x v="172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123"/>
          </reference>
          <reference field="1" count="1">
            <x v="48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124"/>
          </reference>
          <reference field="1" count="1">
            <x v="44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125"/>
          </reference>
          <reference field="1" count="1">
            <x v="96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126"/>
          </reference>
          <reference field="1" count="1">
            <x v="100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127"/>
          </reference>
          <reference field="1" count="1">
            <x v="9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128"/>
          </reference>
          <reference field="1" count="1">
            <x v="112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129"/>
          </reference>
          <reference field="1" count="1">
            <x v="179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130"/>
          </reference>
          <reference field="1" count="1">
            <x v="192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131"/>
          </reference>
          <reference field="1" count="1">
            <x v="47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132"/>
          </reference>
          <reference field="1" count="1">
            <x v="136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133"/>
          </reference>
          <reference field="1" count="1">
            <x v="103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134"/>
          </reference>
          <reference field="1" count="1">
            <x v="88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135"/>
          </reference>
          <reference field="1" count="1">
            <x v="167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136"/>
          </reference>
          <reference field="1" count="1">
            <x v="169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137"/>
          </reference>
          <reference field="1" count="1">
            <x v="152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138"/>
          </reference>
          <reference field="1" count="1">
            <x v="119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139"/>
          </reference>
          <reference field="1" count="1">
            <x v="106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140"/>
          </reference>
          <reference field="1" count="1">
            <x v="118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141"/>
          </reference>
          <reference field="1" count="1">
            <x v="108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142"/>
          </reference>
          <reference field="1" count="1">
            <x v="202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143"/>
          </reference>
          <reference field="1" count="1">
            <x v="20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144"/>
          </reference>
          <reference field="1" count="1">
            <x v="89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145"/>
          </reference>
          <reference field="1" count="1">
            <x v="71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146"/>
          </reference>
          <reference field="1" count="1">
            <x v="93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147"/>
          </reference>
          <reference field="1" count="1">
            <x v="14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148"/>
          </reference>
          <reference field="1" count="1">
            <x v="159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149"/>
          </reference>
          <reference field="1" count="1">
            <x v="156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150"/>
          </reference>
          <reference field="1" count="1">
            <x v="109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151"/>
          </reference>
          <reference field="1" count="1">
            <x v="137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152"/>
          </reference>
          <reference field="1" count="1">
            <x v="37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153"/>
          </reference>
          <reference field="1" count="1">
            <x v="49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154"/>
          </reference>
          <reference field="1" count="1">
            <x v="142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155"/>
          </reference>
          <reference field="1" count="1">
            <x v="56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156"/>
          </reference>
          <reference field="1" count="1">
            <x v="158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157"/>
          </reference>
          <reference field="1" count="1">
            <x v="66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158"/>
          </reference>
          <reference field="1" count="1">
            <x v="68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159"/>
          </reference>
          <reference field="1" count="1">
            <x v="165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160"/>
          </reference>
          <reference field="1" count="1">
            <x v="78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61"/>
          </reference>
          <reference field="1" count="1">
            <x v="12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162"/>
          </reference>
          <reference field="1" count="1">
            <x v="91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163"/>
          </reference>
          <reference field="1" count="1">
            <x v="116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164"/>
          </reference>
          <reference field="1" count="1">
            <x v="132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165"/>
          </reference>
          <reference field="1" count="1">
            <x v="198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166"/>
          </reference>
          <reference field="1" count="1">
            <x v="52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167"/>
          </reference>
          <reference field="1" count="1">
            <x v="153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68"/>
          </reference>
          <reference field="1" count="1">
            <x v="79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169"/>
          </reference>
          <reference field="1" count="1">
            <x v="208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70"/>
          </reference>
          <reference field="1" count="1">
            <x v="69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71"/>
          </reference>
          <reference field="1" count="1">
            <x v="11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72"/>
          </reference>
          <reference field="1" count="1">
            <x v="139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73"/>
          </reference>
          <reference field="1" count="1">
            <x v="1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74"/>
          </reference>
          <reference field="1" count="1">
            <x v="93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75"/>
          </reference>
          <reference field="1" count="1">
            <x v="170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76"/>
          </reference>
          <reference field="1" count="1">
            <x v="35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177"/>
          </reference>
          <reference field="1" count="1">
            <x v="200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78"/>
          </reference>
          <reference field="1" count="1">
            <x v="185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79"/>
          </reference>
          <reference field="1" count="1">
            <x v="104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180"/>
          </reference>
          <reference field="1" count="1">
            <x v="72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181"/>
          </reference>
          <reference field="1" count="1">
            <x v="126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82"/>
          </reference>
          <reference field="1" count="1">
            <x v="53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183"/>
          </reference>
          <reference field="1" count="1">
            <x v="15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184"/>
          </reference>
          <reference field="1" count="1">
            <x v="182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185"/>
          </reference>
          <reference field="1" count="1">
            <x v="73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186"/>
          </reference>
          <reference field="1" count="1">
            <x v="191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187"/>
          </reference>
          <reference field="1" count="1">
            <x v="175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188"/>
          </reference>
          <reference field="1" count="1">
            <x v="113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189"/>
          </reference>
          <reference field="1" count="1">
            <x v="6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190"/>
          </reference>
          <reference field="1" count="1">
            <x v="206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191"/>
          </reference>
          <reference field="1" count="1">
            <x v="97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192"/>
          </reference>
          <reference field="1" count="1">
            <x v="99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193"/>
          </reference>
          <reference field="1" count="1">
            <x v="65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194"/>
          </reference>
          <reference field="1" count="1">
            <x v="99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195"/>
          </reference>
          <reference field="1" count="1">
            <x v="94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196"/>
          </reference>
          <reference field="1" count="1">
            <x v="39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197"/>
          </reference>
          <reference field="1" count="1">
            <x v="57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198"/>
          </reference>
          <reference field="1" count="1">
            <x v="75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199"/>
          </reference>
          <reference field="1" count="1">
            <x v="46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200"/>
          </reference>
          <reference field="1" count="1">
            <x v="32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201"/>
          </reference>
          <reference field="1" count="1">
            <x v="50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202"/>
          </reference>
          <reference field="1" count="1">
            <x v="83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203"/>
          </reference>
          <reference field="1" count="1">
            <x v="123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204"/>
          </reference>
          <reference field="1" count="1">
            <x v="132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205"/>
          </reference>
          <reference field="1" count="1">
            <x v="129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206"/>
          </reference>
          <reference field="1" count="1">
            <x v="130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207"/>
          </reference>
          <reference field="1" count="1">
            <x v="176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208"/>
          </reference>
          <reference field="1" count="1">
            <x v="133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209"/>
          </reference>
          <reference field="1" count="1">
            <x v="13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210"/>
          </reference>
          <reference field="1" count="1">
            <x v="4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211"/>
          </reference>
          <reference field="1" count="1">
            <x v="210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212"/>
          </reference>
          <reference field="1" count="1">
            <x v="24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213"/>
          </reference>
          <reference field="1" count="1">
            <x v="77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214"/>
          </reference>
          <reference field="1" count="1">
            <x v="205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215"/>
          </reference>
          <reference field="1" count="1">
            <x v="33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216"/>
          </reference>
          <reference field="1" count="1">
            <x v="25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217"/>
          </reference>
          <reference field="1" count="1">
            <x v="3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218"/>
          </reference>
          <reference field="1" count="1">
            <x v="45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219"/>
          </reference>
          <reference field="1" count="1">
            <x v="197"/>
          </reference>
        </references>
      </pivotArea>
    </format>
    <format dxfId="28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1B750-F943-426C-A8AF-9D9455ADE34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hannel">
  <location ref="K13:M18" firstHeaderRow="0" firstDataRow="1" firstDataCol="1"/>
  <pivotFields count="22">
    <pivotField showAll="0"/>
    <pivotField showAll="0"/>
    <pivotField axis="axisRow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4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  <item t="default"/>
      </items>
    </pivotField>
    <pivotField numFmtId="14" showAll="0">
      <items count="167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  <item t="default"/>
      </items>
    </pivotField>
    <pivotField numFmtId="1" showAll="0"/>
    <pivotField numFmtId="164" showAll="0"/>
    <pivotField numFmtId="1" showAll="0"/>
    <pivotField numFmtId="1" showAll="0"/>
    <pivotField numFmtId="1" showAll="0"/>
    <pivotField showAll="0"/>
    <pivotField numFmtId="10" showAll="0"/>
    <pivotField numFmtId="10" showAll="0"/>
    <pivotField numFmtId="165" showAll="0"/>
    <pivotField numFmtId="165" showAll="0"/>
    <pivotField dataField="1" showAll="0"/>
    <pivotField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3"/>
    </i>
    <i>
      <x v="4"/>
    </i>
    <i>
      <x v="2"/>
    </i>
  </rowItems>
  <colFields count="1">
    <field x="-2"/>
  </colFields>
  <colItems count="2">
    <i>
      <x/>
    </i>
    <i i="1">
      <x v="1"/>
    </i>
  </colItems>
  <dataFields count="2">
    <dataField name="Overall ROI (%)" fld="17" baseField="2" baseItem="0" numFmtId="164"/>
    <dataField name="Rank" fld="15" subtotal="average" baseField="2" baseItem="0" numFmtId="1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8">
    <format dxfId="527">
      <pivotArea outline="0" collapsedLevelsAreSubtotals="1" fieldPosition="0"/>
    </format>
    <format dxfId="526">
      <pivotArea outline="0" fieldPosition="0">
        <references count="1">
          <reference field="4294967294" count="1">
            <x v="1"/>
          </reference>
        </references>
      </pivotArea>
    </format>
    <format dxfId="5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4">
      <pivotArea type="all" dataOnly="0" outline="0" fieldPosition="0"/>
    </format>
    <format dxfId="523">
      <pivotArea outline="0" collapsedLevelsAreSubtotals="1" fieldPosition="0"/>
    </format>
    <format dxfId="522">
      <pivotArea field="2" type="button" dataOnly="0" labelOnly="1" outline="0" axis="axisRow" fieldPosition="0"/>
    </format>
    <format dxfId="521">
      <pivotArea dataOnly="0" labelOnly="1" fieldPosition="0">
        <references count="1">
          <reference field="2" count="0"/>
        </references>
      </pivotArea>
    </format>
    <format dxfId="5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ED700-E9D8-4DDA-8D00-2D840C4493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K3:L16" firstHeaderRow="1" firstDataRow="1" firstDataCol="1"/>
  <pivotFields count="22">
    <pivotField showAll="0"/>
    <pivotField showAll="0"/>
    <pivotField showAll="0"/>
    <pivotField axis="axisRow" numFmtId="14" showAll="0">
      <items count="154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  <item t="default"/>
      </items>
    </pivotField>
    <pivotField numFmtId="14" showAll="0">
      <items count="167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  <item t="default"/>
      </items>
    </pivotField>
    <pivotField numFmtId="1" showAll="0"/>
    <pivotField numFmtId="164" showAll="0"/>
    <pivotField numFmtId="1" showAll="0"/>
    <pivotField numFmtId="1" showAll="0"/>
    <pivotField dataField="1" numFmtId="1" showAll="0"/>
    <pivotField showAll="0"/>
    <pivotField numFmtId="10" showAll="0"/>
    <pivotField numFmtId="10" showAll="0"/>
    <pivotField numFmtId="165" showAll="0"/>
    <pivotField numFmtId="165" showAll="0"/>
    <pivotField showAll="0"/>
    <pivotField showAl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9"/>
    <field x="18"/>
    <field x="3"/>
    <field x="21"/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Conversions" fld="9" baseField="19" baseItem="1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2E414-1403-4EFC-AA52-D736C107D2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B20" firstHeaderRow="1" firstDataRow="1" firstDataCol="1"/>
  <pivotFields count="22"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numFmtId="14" showAll="0">
      <items count="154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  <item t="default"/>
      </items>
    </pivotField>
    <pivotField numFmtId="14" showAll="0">
      <items count="167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  <item t="default"/>
      </items>
    </pivotField>
    <pivotField numFmtId="1" showAll="0"/>
    <pivotField dataField="1" numFmtId="164" showAll="0"/>
    <pivotField numFmtId="1" showAll="0"/>
    <pivotField numFmtId="1" showAll="0"/>
    <pivotField numFmtId="1" showAll="0"/>
    <pivotField showAll="0"/>
    <pivotField numFmtId="10" showAll="0"/>
    <pivotField numFmtId="10" showAll="0"/>
    <pivotField numFmtId="165" showAll="0"/>
    <pivotField numFmtId="165" showAll="0"/>
    <pivotField showAll="0"/>
    <pivotField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Budget" fld="6" baseField="2" baseItem="0" numFmtId="164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BBD29-AAE3-4098-ACCF-D83025FD8D6D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F3:H13" firstHeaderRow="1" firstDataRow="1" firstDataCol="2"/>
  <pivotFields count="22">
    <pivotField axis="axisRow" compact="0" outline="0" showAll="0" measureFilter="1" sortType="descending" defaultSubtotal="0">
      <items count="2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x="97"/>
        <item x="98"/>
        <item sd="0" x="99"/>
        <item sd="0" x="100"/>
        <item sd="0" x="101"/>
        <item sd="0" x="102"/>
        <item sd="0" x="103"/>
        <item sd="0" x="104"/>
        <item sd="0" x="105"/>
        <item x="106"/>
        <item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x="137"/>
        <item sd="0" x="138"/>
        <item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214">
        <item x="88"/>
        <item x="170"/>
        <item x="100"/>
        <item x="211"/>
        <item x="204"/>
        <item x="48"/>
        <item x="185"/>
        <item x="39"/>
        <item x="44"/>
        <item x="125"/>
        <item x="27"/>
        <item x="168"/>
        <item x="158"/>
        <item x="203"/>
        <item x="144"/>
        <item x="179"/>
        <item x="12"/>
        <item x="67"/>
        <item x="74"/>
        <item x="59"/>
        <item x="140"/>
        <item x="46"/>
        <item x="102"/>
        <item x="112"/>
        <item x="206"/>
        <item x="210"/>
        <item x="3"/>
        <item x="16"/>
        <item x="35"/>
        <item x="76"/>
        <item x="2"/>
        <item x="36"/>
        <item x="195"/>
        <item x="209"/>
        <item x="101"/>
        <item x="172"/>
        <item x="84"/>
        <item x="149"/>
        <item x="19"/>
        <item x="191"/>
        <item x="64"/>
        <item x="1"/>
        <item x="104"/>
        <item x="79"/>
        <item x="122"/>
        <item x="212"/>
        <item x="194"/>
        <item x="128"/>
        <item x="121"/>
        <item x="150"/>
        <item x="196"/>
        <item x="82"/>
        <item x="163"/>
        <item x="178"/>
        <item x="49"/>
        <item x="91"/>
        <item x="152"/>
        <item x="192"/>
        <item x="111"/>
        <item x="5"/>
        <item x="108"/>
        <item x="71"/>
        <item x="113"/>
        <item x="66"/>
        <item x="116"/>
        <item x="189"/>
        <item x="154"/>
        <item x="103"/>
        <item x="155"/>
        <item x="167"/>
        <item x="61"/>
        <item x="142"/>
        <item x="176"/>
        <item x="181"/>
        <item x="43"/>
        <item x="193"/>
        <item x="107"/>
        <item x="207"/>
        <item x="157"/>
        <item x="165"/>
        <item x="97"/>
        <item x="77"/>
        <item x="96"/>
        <item x="197"/>
        <item x="78"/>
        <item x="15"/>
        <item x="25"/>
        <item x="73"/>
        <item x="131"/>
        <item x="141"/>
        <item x="11"/>
        <item x="159"/>
        <item x="21"/>
        <item x="143"/>
        <item x="190"/>
        <item x="63"/>
        <item x="123"/>
        <item x="187"/>
        <item x="53"/>
        <item x="188"/>
        <item x="124"/>
        <item x="65"/>
        <item x="69"/>
        <item x="130"/>
        <item x="175"/>
        <item x="95"/>
        <item x="136"/>
        <item x="57"/>
        <item x="138"/>
        <item x="147"/>
        <item x="80"/>
        <item x="117"/>
        <item x="126"/>
        <item x="184"/>
        <item x="32"/>
        <item x="118"/>
        <item x="160"/>
        <item x="26"/>
        <item x="137"/>
        <item x="135"/>
        <item x="60"/>
        <item x="94"/>
        <item x="22"/>
        <item x="198"/>
        <item x="54"/>
        <item x="29"/>
        <item x="177"/>
        <item x="23"/>
        <item x="33"/>
        <item x="199"/>
        <item x="200"/>
        <item x="115"/>
        <item x="161"/>
        <item x="202"/>
        <item x="105"/>
        <item x="86"/>
        <item x="129"/>
        <item x="148"/>
        <item x="58"/>
        <item x="169"/>
        <item x="38"/>
        <item x="47"/>
        <item x="151"/>
        <item x="34"/>
        <item x="40"/>
        <item x="50"/>
        <item x="62"/>
        <item x="99"/>
        <item x="41"/>
        <item x="81"/>
        <item x="68"/>
        <item x="114"/>
        <item x="134"/>
        <item x="164"/>
        <item x="55"/>
        <item x="98"/>
        <item x="146"/>
        <item x="45"/>
        <item x="153"/>
        <item x="145"/>
        <item x="17"/>
        <item x="52"/>
        <item x="109"/>
        <item x="9"/>
        <item x="72"/>
        <item x="156"/>
        <item x="85"/>
        <item x="132"/>
        <item x="37"/>
        <item x="133"/>
        <item x="171"/>
        <item x="10"/>
        <item x="120"/>
        <item x="8"/>
        <item x="31"/>
        <item x="183"/>
        <item x="201"/>
        <item x="14"/>
        <item x="89"/>
        <item x="127"/>
        <item x="24"/>
        <item x="20"/>
        <item x="180"/>
        <item x="92"/>
        <item x="93"/>
        <item x="174"/>
        <item x="75"/>
        <item x="83"/>
        <item x="51"/>
        <item x="18"/>
        <item x="0"/>
        <item x="182"/>
        <item x="28"/>
        <item x="4"/>
        <item x="87"/>
        <item x="90"/>
        <item x="110"/>
        <item x="213"/>
        <item x="162"/>
        <item x="6"/>
        <item x="173"/>
        <item x="56"/>
        <item x="139"/>
        <item x="70"/>
        <item x="119"/>
        <item x="208"/>
        <item x="186"/>
        <item x="13"/>
        <item x="166"/>
        <item x="30"/>
        <item x="205"/>
        <item x="7"/>
        <item x="106"/>
        <item x="42"/>
      </items>
    </pivotField>
    <pivotField compact="0" outline="0" showAll="0" defaultSubtotal="0"/>
    <pivotField compact="0" numFmtId="14" outline="0" showAll="0" defaultSubtotal="0">
      <items count="153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</items>
    </pivotField>
    <pivotField compact="0" numFmtId="14" outline="0" showAll="0" defaultSubtotal="0">
      <items count="166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</items>
    </pivotField>
    <pivotField compact="0" numFmtId="1" outline="0" showAll="0" defaultSubtotal="0"/>
    <pivotField compact="0" numFmtId="164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outline="0" showAll="0" defaultSubtotal="0"/>
    <pivotField compact="0" numFmtId="10" outline="0" showAll="0" defaultSubtotal="0"/>
    <pivotField compact="0" numFmtId="10" outline="0" showAll="0" defaultSubtotal="0"/>
    <pivotField compact="0" numFmtId="165" outline="0" showAll="0" defaultSubtotal="0"/>
    <pivotField compact="0" numFmtId="165" outline="0" showAll="0" defaultSubtotal="0"/>
    <pivotField dataField="1"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0"/>
    <field x="1"/>
  </rowFields>
  <rowItems count="10">
    <i>
      <x v="210"/>
      <x v="4"/>
    </i>
    <i>
      <x v="97"/>
      <x v="82"/>
    </i>
    <i>
      <x v="193"/>
      <x v="65"/>
    </i>
    <i>
      <x v="107"/>
      <x v="212"/>
    </i>
    <i>
      <x v="98"/>
      <x v="80"/>
    </i>
    <i>
      <x v="169"/>
      <x v="208"/>
    </i>
    <i>
      <x v="106"/>
      <x v="134"/>
    </i>
    <i>
      <x v="67"/>
      <x v="63"/>
    </i>
    <i>
      <x v="137"/>
      <x v="152"/>
    </i>
    <i>
      <x v="139"/>
      <x v="106"/>
    </i>
  </rowItems>
  <colItems count="1">
    <i/>
  </colItems>
  <dataFields count="1">
    <dataField name="ROI_(%)" fld="15" baseField="1" baseItem="4" numFmtId="9"/>
  </dataFields>
  <formats count="17"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field="1" type="button" dataOnly="0" labelOnly="1" outline="0" axis="axisRow" fieldPosition="1"/>
    </format>
    <format dxfId="20">
      <pivotArea dataOnly="0" labelOnly="1" outline="0" fieldPosition="0">
        <references count="1">
          <reference field="0" count="10">
            <x v="67"/>
            <x v="97"/>
            <x v="98"/>
            <x v="106"/>
            <x v="107"/>
            <x v="137"/>
            <x v="139"/>
            <x v="169"/>
            <x v="193"/>
            <x v="210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210"/>
          </reference>
          <reference field="1" count="1">
            <x v="4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97"/>
          </reference>
          <reference field="1" count="1">
            <x v="82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93"/>
          </reference>
          <reference field="1" count="1">
            <x v="65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07"/>
          </reference>
          <reference field="1" count="1">
            <x v="212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98"/>
          </reference>
          <reference field="1" count="1">
            <x v="80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69"/>
          </reference>
          <reference field="1" count="1">
            <x v="208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06"/>
          </reference>
          <reference field="1" count="1">
            <x v="134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67"/>
          </reference>
          <reference field="1" count="1">
            <x v="63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37"/>
          </reference>
          <reference field="1" count="1">
            <x v="152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139"/>
          </reference>
          <reference field="1" count="1">
            <x v="106"/>
          </reference>
        </references>
      </pivotArea>
    </format>
    <format dxfId="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AA919-3794-4895-84F4-DDE320FC27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9" firstHeaderRow="0" firstDataRow="1" firstDataCol="1"/>
  <pivotFields count="22"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numFmtId="14" showAll="0">
      <items count="154">
        <item x="53"/>
        <item x="78"/>
        <item x="57"/>
        <item x="136"/>
        <item x="127"/>
        <item x="105"/>
        <item x="84"/>
        <item x="24"/>
        <item x="148"/>
        <item x="123"/>
        <item x="137"/>
        <item x="37"/>
        <item x="128"/>
        <item x="88"/>
        <item x="79"/>
        <item x="86"/>
        <item x="61"/>
        <item x="90"/>
        <item x="0"/>
        <item x="41"/>
        <item x="56"/>
        <item x="38"/>
        <item x="70"/>
        <item x="93"/>
        <item x="54"/>
        <item x="12"/>
        <item x="32"/>
        <item x="52"/>
        <item x="29"/>
        <item x="113"/>
        <item x="107"/>
        <item x="47"/>
        <item x="22"/>
        <item x="145"/>
        <item x="125"/>
        <item x="120"/>
        <item x="81"/>
        <item x="19"/>
        <item x="94"/>
        <item x="76"/>
        <item x="118"/>
        <item x="36"/>
        <item x="85"/>
        <item x="64"/>
        <item x="151"/>
        <item x="117"/>
        <item x="121"/>
        <item x="147"/>
        <item x="149"/>
        <item x="67"/>
        <item x="60"/>
        <item x="89"/>
        <item x="40"/>
        <item x="140"/>
        <item x="109"/>
        <item x="68"/>
        <item x="27"/>
        <item x="131"/>
        <item x="100"/>
        <item x="65"/>
        <item x="16"/>
        <item x="4"/>
        <item x="25"/>
        <item x="35"/>
        <item x="44"/>
        <item x="21"/>
        <item x="15"/>
        <item x="62"/>
        <item x="55"/>
        <item x="42"/>
        <item x="132"/>
        <item x="80"/>
        <item x="2"/>
        <item x="134"/>
        <item x="91"/>
        <item x="103"/>
        <item x="135"/>
        <item x="141"/>
        <item x="139"/>
        <item x="143"/>
        <item x="63"/>
        <item x="124"/>
        <item x="34"/>
        <item x="18"/>
        <item x="144"/>
        <item x="106"/>
        <item x="5"/>
        <item x="114"/>
        <item x="13"/>
        <item x="73"/>
        <item x="133"/>
        <item x="28"/>
        <item x="102"/>
        <item x="71"/>
        <item x="110"/>
        <item x="116"/>
        <item x="69"/>
        <item x="83"/>
        <item x="9"/>
        <item x="7"/>
        <item x="11"/>
        <item x="108"/>
        <item x="30"/>
        <item x="50"/>
        <item x="58"/>
        <item x="43"/>
        <item x="10"/>
        <item x="150"/>
        <item x="49"/>
        <item x="119"/>
        <item x="87"/>
        <item x="66"/>
        <item x="26"/>
        <item x="17"/>
        <item x="82"/>
        <item x="96"/>
        <item x="72"/>
        <item x="101"/>
        <item x="111"/>
        <item x="14"/>
        <item x="74"/>
        <item x="138"/>
        <item x="39"/>
        <item x="104"/>
        <item x="8"/>
        <item x="33"/>
        <item x="146"/>
        <item x="92"/>
        <item x="122"/>
        <item x="129"/>
        <item x="20"/>
        <item x="51"/>
        <item x="77"/>
        <item x="46"/>
        <item x="23"/>
        <item x="48"/>
        <item x="3"/>
        <item x="1"/>
        <item x="142"/>
        <item x="130"/>
        <item x="95"/>
        <item x="6"/>
        <item x="126"/>
        <item x="115"/>
        <item x="112"/>
        <item x="99"/>
        <item x="75"/>
        <item x="97"/>
        <item x="31"/>
        <item x="98"/>
        <item x="59"/>
        <item x="45"/>
        <item x="152"/>
        <item t="default"/>
      </items>
    </pivotField>
    <pivotField numFmtId="14" showAll="0">
      <items count="167">
        <item x="56"/>
        <item x="80"/>
        <item x="113"/>
        <item x="87"/>
        <item x="59"/>
        <item x="137"/>
        <item x="86"/>
        <item x="159"/>
        <item x="89"/>
        <item x="40"/>
        <item x="88"/>
        <item x="82"/>
        <item x="148"/>
        <item x="63"/>
        <item x="96"/>
        <item x="154"/>
        <item x="92"/>
        <item x="0"/>
        <item x="109"/>
        <item x="42"/>
        <item x="61"/>
        <item x="12"/>
        <item x="94"/>
        <item x="29"/>
        <item x="139"/>
        <item x="55"/>
        <item x="54"/>
        <item x="58"/>
        <item x="81"/>
        <item x="127"/>
        <item x="24"/>
        <item x="132"/>
        <item x="78"/>
        <item x="95"/>
        <item x="101"/>
        <item x="115"/>
        <item x="100"/>
        <item x="162"/>
        <item x="153"/>
        <item x="156"/>
        <item x="104"/>
        <item x="158"/>
        <item x="34"/>
        <item x="160"/>
        <item x="70"/>
        <item x="67"/>
        <item x="133"/>
        <item x="116"/>
        <item x="73"/>
        <item x="84"/>
        <item x="163"/>
        <item x="152"/>
        <item x="118"/>
        <item x="93"/>
        <item x="83"/>
        <item x="19"/>
        <item x="146"/>
        <item x="107"/>
        <item x="129"/>
        <item x="50"/>
        <item x="22"/>
        <item x="135"/>
        <item x="71"/>
        <item x="4"/>
        <item x="141"/>
        <item x="15"/>
        <item x="39"/>
        <item x="14"/>
        <item x="38"/>
        <item x="47"/>
        <item x="62"/>
        <item x="136"/>
        <item x="165"/>
        <item x="123"/>
        <item x="122"/>
        <item x="21"/>
        <item x="27"/>
        <item x="2"/>
        <item x="143"/>
        <item x="64"/>
        <item x="97"/>
        <item x="68"/>
        <item x="150"/>
        <item x="161"/>
        <item x="147"/>
        <item x="155"/>
        <item x="126"/>
        <item x="124"/>
        <item x="114"/>
        <item x="66"/>
        <item x="5"/>
        <item x="25"/>
        <item x="57"/>
        <item x="75"/>
        <item x="74"/>
        <item x="13"/>
        <item x="43"/>
        <item x="28"/>
        <item x="108"/>
        <item x="18"/>
        <item x="45"/>
        <item x="121"/>
        <item x="85"/>
        <item x="117"/>
        <item x="128"/>
        <item x="7"/>
        <item x="9"/>
        <item x="53"/>
        <item x="35"/>
        <item x="72"/>
        <item x="30"/>
        <item x="46"/>
        <item x="10"/>
        <item x="37"/>
        <item x="144"/>
        <item x="130"/>
        <item x="131"/>
        <item x="98"/>
        <item x="69"/>
        <item x="103"/>
        <item x="65"/>
        <item x="33"/>
        <item x="138"/>
        <item x="16"/>
        <item x="17"/>
        <item x="76"/>
        <item x="91"/>
        <item x="26"/>
        <item x="119"/>
        <item x="11"/>
        <item x="52"/>
        <item x="41"/>
        <item x="44"/>
        <item x="157"/>
        <item x="134"/>
        <item x="140"/>
        <item x="32"/>
        <item x="20"/>
        <item x="149"/>
        <item x="145"/>
        <item x="8"/>
        <item x="36"/>
        <item x="23"/>
        <item x="1"/>
        <item x="3"/>
        <item x="111"/>
        <item x="110"/>
        <item x="49"/>
        <item x="90"/>
        <item x="106"/>
        <item x="120"/>
        <item x="102"/>
        <item x="79"/>
        <item x="99"/>
        <item x="31"/>
        <item x="51"/>
        <item x="77"/>
        <item x="105"/>
        <item x="112"/>
        <item x="142"/>
        <item x="6"/>
        <item x="48"/>
        <item x="60"/>
        <item x="125"/>
        <item x="151"/>
        <item x="164"/>
        <item t="default"/>
      </items>
    </pivotField>
    <pivotField numFmtId="1" showAll="0"/>
    <pivotField dataField="1" numFmtId="164" showAll="0"/>
    <pivotField numFmtId="1" showAll="0"/>
    <pivotField numFmtId="1" showAll="0"/>
    <pivotField numFmtId="1" showAll="0"/>
    <pivotField dataField="1" showAll="0"/>
    <pivotField numFmtId="10" showAll="0"/>
    <pivotField numFmtId="10" showAll="0"/>
    <pivotField numFmtId="165" showAll="0"/>
    <pivotField numFmtId="165" showAll="0"/>
    <pivotField showAll="0"/>
    <pivotField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Budget_Spent (INR)" fld="6" baseField="2" baseItem="0" numFmtId="164"/>
    <dataField name="Total Revenue_Generated (INR)" fld="10" baseField="2" baseItem="0" numFmtId="164"/>
  </dataFields>
  <formats count="7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FF8D385-2E5F-481E-B30B-2B484A8F342E}" autoFormatId="16" applyNumberFormats="0" applyBorderFormats="0" applyFontFormats="0" applyPatternFormats="0" applyAlignmentFormats="0" applyWidthHeightFormats="0">
  <queryTableRefresh nextId="27">
    <queryTableFields count="17">
      <queryTableField id="1" name="Campaign_ID" tableColumnId="1"/>
      <queryTableField id="2" name="Campaign_Name" tableColumnId="2"/>
      <queryTableField id="3" name="Channel" tableColumnId="3"/>
      <queryTableField id="4" name="Start_Date" tableColumnId="4"/>
      <queryTableField id="5" name="End_Date" tableColumnId="5"/>
      <queryTableField id="6" name="Duration" tableColumnId="6"/>
      <queryTableField id="7" name="Budget_Spent (INR)" tableColumnId="7"/>
      <queryTableField id="8" name="Impressions" tableColumnId="8"/>
      <queryTableField id="9" name="Clicks" tableColumnId="9"/>
      <queryTableField id="10" name="Conversions" tableColumnId="10"/>
      <queryTableField id="11" name="Revenue_Generated (INR)" tableColumnId="11"/>
      <queryTableField id="12" name="CTR" tableColumnId="12"/>
      <queryTableField id="13" name="Conversion Rates" tableColumnId="13"/>
      <queryTableField id="14" name="Cost Per Click" tableColumnId="14"/>
      <queryTableField id="15" name="Cost Per Conversion" tableColumnId="15"/>
      <queryTableField id="16" name="ROI" tableColumnId="16"/>
      <queryTableField id="17" name="Profil/Los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0E34D2-7383-4CA5-AE32-62D1B21AFFE1}" name="Marketing_Analysis_Cleaned" displayName="Marketing_Analysis_Cleaned" ref="A1:Q221" tableType="queryTable" totalsRowShown="0">
  <autoFilter ref="A1:Q221" xr:uid="{7A0E34D2-7383-4CA5-AE32-62D1B21AFFE1}"/>
  <tableColumns count="17">
    <tableColumn id="1" xr3:uid="{6EBACA4A-5AF5-49D2-AB1A-37B190D9AC35}" uniqueName="1" name="Campaign_ID" queryTableFieldId="1" dataDxfId="544"/>
    <tableColumn id="2" xr3:uid="{0C28FC36-C87E-4D8D-8C09-0531965C5683}" uniqueName="2" name="Campaign_Name" queryTableFieldId="2" dataDxfId="543"/>
    <tableColumn id="3" xr3:uid="{2B9B33E7-C1FC-4284-B12D-D42424CA9592}" uniqueName="3" name="Channel" queryTableFieldId="3" dataDxfId="542"/>
    <tableColumn id="4" xr3:uid="{F47DA89A-0AD4-437F-ABCE-2923BE3A4D55}" uniqueName="4" name="Start_Date" queryTableFieldId="4" dataDxfId="541"/>
    <tableColumn id="5" xr3:uid="{A503C6B4-C08A-494C-95DA-9D6B5F1F5077}" uniqueName="5" name="End_Date" queryTableFieldId="5" dataDxfId="540"/>
    <tableColumn id="6" xr3:uid="{4E0B0A41-7044-4F6D-9BC3-A7137BD2DAF3}" uniqueName="6" name="Duration" queryTableFieldId="6" dataDxfId="539"/>
    <tableColumn id="7" xr3:uid="{A8430D71-88C8-48F9-9094-43729CE74D82}" uniqueName="7" name="Budget_Spent (INR)" queryTableFieldId="7" dataDxfId="538"/>
    <tableColumn id="8" xr3:uid="{A12196AA-4901-4D29-8670-BEDDA7EE1811}" uniqueName="8" name="Impressions" queryTableFieldId="8" dataDxfId="537"/>
    <tableColumn id="9" xr3:uid="{E142EB82-8690-46A0-8C2C-C5E1C383A2D2}" uniqueName="9" name="Clicks" queryTableFieldId="9" dataDxfId="536"/>
    <tableColumn id="10" xr3:uid="{724D0818-B7C7-4F3E-9D34-4A33506447BE}" uniqueName="10" name="Conversions" queryTableFieldId="10" dataDxfId="535"/>
    <tableColumn id="11" xr3:uid="{445A0642-CB02-43A7-AF6B-DD5D1B4F0BD9}" uniqueName="11" name="Revenue_Generated (INR)" queryTableFieldId="11" dataDxfId="534"/>
    <tableColumn id="12" xr3:uid="{7FFD3B8F-B0E2-42AE-B04B-7DD90B71BCBE}" uniqueName="12" name="CTR (%)" queryTableFieldId="12" dataDxfId="533" dataCellStyle="Percent"/>
    <tableColumn id="13" xr3:uid="{C4AD06D1-4516-4B8F-B53B-04A553B22FC2}" uniqueName="13" name="Conversion Rate (%)" queryTableFieldId="13" dataDxfId="532" dataCellStyle="Percent"/>
    <tableColumn id="14" xr3:uid="{99FD3552-A6D5-45E0-B20D-796C55C4CCFB}" uniqueName="14" name="Cost Per Click" queryTableFieldId="14" dataDxfId="531"/>
    <tableColumn id="15" xr3:uid="{FC3C90C9-5742-4619-91C3-8FA70F35CF18}" uniqueName="15" name="Cost Per Conversion" queryTableFieldId="15" dataDxfId="530"/>
    <tableColumn id="16" xr3:uid="{B66EC185-5555-491A-A9A4-1FB58C92C339}" uniqueName="16" name="ROI (%)" queryTableFieldId="16" dataDxfId="529" dataCellStyle="Percent"/>
    <tableColumn id="17" xr3:uid="{46D48BC2-F545-41D0-B895-A0E8B40039A6}" uniqueName="17" name="Profil/Loss" queryTableFieldId="17" dataDxfId="5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C33A6-71F7-42D3-A80D-57BC270CCEA9}" name="Table1" displayName="Table1" ref="A24:C30" totalsRowShown="0">
  <autoFilter ref="A24:C30" xr:uid="{4B0C33A6-71F7-42D3-A80D-57BC270CCEA9}"/>
  <tableColumns count="3">
    <tableColumn id="1" xr3:uid="{C75138C7-9E05-43B9-B9B2-D20473F5F23D}" name="Channel"/>
    <tableColumn id="2" xr3:uid="{D640E5E2-AE7C-4505-AA8E-C99084E888DF}" name="Total Budget_Spent (INR)" dataDxfId="2"/>
    <tableColumn id="3" xr3:uid="{FE95E2C2-88FC-4434-8C73-1CFBCB79E4CD}" name="Total Revenue_Generated (INR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8118-B706-4063-A89C-198B7A3EE578}">
  <dimension ref="A1:Q221"/>
  <sheetViews>
    <sheetView topLeftCell="D1" zoomScaleNormal="100" workbookViewId="0">
      <selection activeCell="O19" sqref="O19"/>
    </sheetView>
  </sheetViews>
  <sheetFormatPr defaultRowHeight="14.4" x14ac:dyDescent="0.3"/>
  <cols>
    <col min="1" max="1" width="14.44140625" bestFit="1" customWidth="1"/>
    <col min="2" max="2" width="44.109375" bestFit="1" customWidth="1"/>
    <col min="3" max="3" width="11.33203125" bestFit="1" customWidth="1"/>
    <col min="4" max="4" width="12.109375" bestFit="1" customWidth="1"/>
    <col min="5" max="5" width="11.33203125" bestFit="1" customWidth="1"/>
    <col min="6" max="6" width="10.5546875" style="5" bestFit="1" customWidth="1"/>
    <col min="7" max="7" width="20.109375" style="2" bestFit="1" customWidth="1"/>
    <col min="8" max="8" width="13.21875" style="5" bestFit="1" customWidth="1"/>
    <col min="9" max="9" width="10.33203125" style="5" customWidth="1"/>
    <col min="10" max="10" width="13.44140625" style="5" bestFit="1" customWidth="1"/>
    <col min="11" max="11" width="25.44140625" style="8" bestFit="1" customWidth="1"/>
    <col min="12" max="12" width="12" style="3" bestFit="1" customWidth="1"/>
    <col min="13" max="13" width="20.33203125" style="3" bestFit="1" customWidth="1"/>
    <col min="14" max="14" width="14.44140625" style="7" bestFit="1" customWidth="1"/>
    <col min="15" max="15" width="21.109375" style="7" bestFit="1" customWidth="1"/>
    <col min="16" max="16" width="12.6640625" style="4" bestFit="1" customWidth="1"/>
    <col min="17" max="17" width="15.33203125" style="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452</v>
      </c>
      <c r="G1" s="2" t="s">
        <v>5</v>
      </c>
      <c r="H1" s="5" t="s">
        <v>6</v>
      </c>
      <c r="I1" s="5" t="s">
        <v>7</v>
      </c>
      <c r="J1" s="5" t="s">
        <v>8</v>
      </c>
      <c r="K1" s="8" t="s">
        <v>9</v>
      </c>
      <c r="L1" s="3" t="s">
        <v>454</v>
      </c>
      <c r="M1" s="3" t="s">
        <v>455</v>
      </c>
      <c r="N1" s="7" t="s">
        <v>10</v>
      </c>
      <c r="O1" s="7" t="s">
        <v>11</v>
      </c>
      <c r="P1" s="4" t="s">
        <v>456</v>
      </c>
      <c r="Q1" s="8" t="s">
        <v>12</v>
      </c>
    </row>
    <row r="2" spans="1:17" x14ac:dyDescent="0.3">
      <c r="A2" t="s">
        <v>20</v>
      </c>
      <c r="B2" t="s">
        <v>21</v>
      </c>
      <c r="C2" t="s">
        <v>22</v>
      </c>
      <c r="D2" s="1">
        <v>45695</v>
      </c>
      <c r="E2" s="1">
        <v>45700</v>
      </c>
      <c r="F2" s="5">
        <v>5</v>
      </c>
      <c r="G2" s="2">
        <v>58823</v>
      </c>
      <c r="H2" s="5">
        <v>596216</v>
      </c>
      <c r="I2" s="5">
        <v>22537</v>
      </c>
      <c r="J2" s="5">
        <v>768</v>
      </c>
      <c r="K2" s="2">
        <v>1215132</v>
      </c>
      <c r="L2" s="3">
        <v>3.7800059039005997E-2</v>
      </c>
      <c r="M2" s="3">
        <v>3.4077295114700298E-2</v>
      </c>
      <c r="N2" s="7">
        <v>2.6101000000000001</v>
      </c>
      <c r="O2" s="7">
        <v>76.592399999999998</v>
      </c>
      <c r="P2" s="4">
        <v>19.657429916869201</v>
      </c>
      <c r="Q2" s="8">
        <v>1156309</v>
      </c>
    </row>
    <row r="3" spans="1:17" x14ac:dyDescent="0.3">
      <c r="A3" t="s">
        <v>23</v>
      </c>
      <c r="B3" t="s">
        <v>24</v>
      </c>
      <c r="C3" t="s">
        <v>25</v>
      </c>
      <c r="D3" s="1">
        <v>45947</v>
      </c>
      <c r="E3" s="1">
        <v>45952</v>
      </c>
      <c r="F3" s="5">
        <v>5</v>
      </c>
      <c r="G3" s="2">
        <v>104907</v>
      </c>
      <c r="H3" s="5">
        <v>215178</v>
      </c>
      <c r="I3" s="5">
        <v>9059</v>
      </c>
      <c r="J3" s="5">
        <v>784</v>
      </c>
      <c r="K3" s="2">
        <v>1102850</v>
      </c>
      <c r="L3" s="3">
        <v>4.2100028813354499E-2</v>
      </c>
      <c r="M3" s="3">
        <v>8.6543768627883905E-2</v>
      </c>
      <c r="N3" s="7">
        <v>11.580399999999999</v>
      </c>
      <c r="O3" s="7">
        <v>133.8099</v>
      </c>
      <c r="P3" s="4">
        <v>9.5126445327766493</v>
      </c>
      <c r="Q3" s="8">
        <v>997943</v>
      </c>
    </row>
    <row r="4" spans="1:17" x14ac:dyDescent="0.3">
      <c r="A4" t="s">
        <v>26</v>
      </c>
      <c r="B4" t="s">
        <v>27</v>
      </c>
      <c r="C4" t="s">
        <v>25</v>
      </c>
      <c r="D4" s="1">
        <v>45806</v>
      </c>
      <c r="E4" s="1">
        <v>45816</v>
      </c>
      <c r="F4" s="5">
        <v>10</v>
      </c>
      <c r="G4" s="2">
        <v>259749</v>
      </c>
      <c r="H4" s="5">
        <v>2092780</v>
      </c>
      <c r="I4" s="5">
        <v>50436</v>
      </c>
      <c r="J4" s="5">
        <v>3263</v>
      </c>
      <c r="K4" s="23"/>
      <c r="L4" s="3">
        <v>2.4100000955666601E-2</v>
      </c>
      <c r="M4" s="3">
        <v>6.4695852169085605E-2</v>
      </c>
      <c r="N4" s="7">
        <v>5.1501000000000001</v>
      </c>
      <c r="O4" s="7">
        <v>79.604399999999998</v>
      </c>
      <c r="P4" s="12"/>
      <c r="Q4" s="11"/>
    </row>
    <row r="5" spans="1:17" x14ac:dyDescent="0.3">
      <c r="A5" t="s">
        <v>28</v>
      </c>
      <c r="B5" t="s">
        <v>29</v>
      </c>
      <c r="C5" t="s">
        <v>30</v>
      </c>
      <c r="D5" s="1">
        <v>45946</v>
      </c>
      <c r="E5" s="1">
        <v>45953</v>
      </c>
      <c r="F5" s="5">
        <v>7</v>
      </c>
      <c r="G5" s="2">
        <v>40624</v>
      </c>
      <c r="H5" s="5">
        <v>202474</v>
      </c>
      <c r="I5" s="5">
        <v>6054</v>
      </c>
      <c r="J5" s="5">
        <v>314</v>
      </c>
      <c r="K5" s="2">
        <v>740320</v>
      </c>
      <c r="L5" s="3">
        <v>2.9900135326017201E-2</v>
      </c>
      <c r="M5" s="3">
        <v>5.1866534522629702E-2</v>
      </c>
      <c r="N5" s="7">
        <v>6.7103000000000002</v>
      </c>
      <c r="O5" s="7">
        <v>129.3758</v>
      </c>
      <c r="P5" s="4">
        <v>17.223710122095302</v>
      </c>
      <c r="Q5" s="8">
        <v>699696</v>
      </c>
    </row>
    <row r="6" spans="1:17" x14ac:dyDescent="0.3">
      <c r="A6" t="s">
        <v>31</v>
      </c>
      <c r="B6" t="s">
        <v>32</v>
      </c>
      <c r="C6" t="s">
        <v>30</v>
      </c>
      <c r="D6" s="1">
        <v>45782</v>
      </c>
      <c r="E6" s="1">
        <v>45792</v>
      </c>
      <c r="F6" s="5">
        <v>10</v>
      </c>
      <c r="G6" s="2">
        <v>46457</v>
      </c>
      <c r="H6" s="5">
        <v>233831</v>
      </c>
      <c r="I6" s="5">
        <v>7202</v>
      </c>
      <c r="J6" s="5">
        <v>522</v>
      </c>
      <c r="K6" s="2">
        <v>2427927</v>
      </c>
      <c r="L6" s="3">
        <v>3.0800022238283199E-2</v>
      </c>
      <c r="M6" s="3">
        <v>7.2479866703693399E-2</v>
      </c>
      <c r="N6" s="7">
        <v>6.4505999999999997</v>
      </c>
      <c r="O6" s="7">
        <v>88.998099999999994</v>
      </c>
      <c r="P6" s="4">
        <v>51.261811998191902</v>
      </c>
      <c r="Q6" s="8">
        <v>2381470</v>
      </c>
    </row>
    <row r="7" spans="1:17" x14ac:dyDescent="0.3">
      <c r="A7" t="s">
        <v>33</v>
      </c>
      <c r="B7" t="s">
        <v>34</v>
      </c>
      <c r="C7" t="s">
        <v>25</v>
      </c>
      <c r="D7" s="1">
        <v>45833</v>
      </c>
      <c r="E7" s="1">
        <v>45843</v>
      </c>
      <c r="F7" s="5">
        <v>10</v>
      </c>
      <c r="G7" s="2">
        <v>119683</v>
      </c>
      <c r="H7" s="5">
        <v>299827</v>
      </c>
      <c r="I7" s="5">
        <v>10434</v>
      </c>
      <c r="J7" s="5">
        <v>1220</v>
      </c>
      <c r="K7" s="2">
        <v>2212341</v>
      </c>
      <c r="L7" s="3">
        <v>3.4800068039236E-2</v>
      </c>
      <c r="M7" s="3">
        <v>0.116925436074372</v>
      </c>
      <c r="N7" s="7">
        <v>11.470499999999999</v>
      </c>
      <c r="O7" s="7">
        <v>98.100800000000007</v>
      </c>
      <c r="P7" s="4">
        <v>17.485006224777099</v>
      </c>
      <c r="Q7" s="8">
        <v>2092658</v>
      </c>
    </row>
    <row r="8" spans="1:17" x14ac:dyDescent="0.3">
      <c r="A8" t="s">
        <v>35</v>
      </c>
      <c r="B8" t="s">
        <v>36</v>
      </c>
      <c r="C8" t="s">
        <v>25</v>
      </c>
      <c r="D8" s="1">
        <v>45954</v>
      </c>
      <c r="E8" s="1">
        <v>45999</v>
      </c>
      <c r="F8" s="5">
        <v>45</v>
      </c>
      <c r="G8" s="2">
        <v>279182</v>
      </c>
      <c r="H8" s="5">
        <v>2633390</v>
      </c>
      <c r="I8" s="5">
        <v>61358</v>
      </c>
      <c r="J8" s="5">
        <v>3779</v>
      </c>
      <c r="K8" s="2">
        <v>17632611</v>
      </c>
      <c r="L8" s="3">
        <v>2.33000049366026E-2</v>
      </c>
      <c r="M8" s="3">
        <v>6.1589360800547603E-2</v>
      </c>
      <c r="N8" s="7">
        <v>4.5500999999999996</v>
      </c>
      <c r="O8" s="7">
        <v>73.877200000000002</v>
      </c>
      <c r="P8" s="4">
        <v>62.158122658337597</v>
      </c>
      <c r="Q8" s="8">
        <v>17353429</v>
      </c>
    </row>
    <row r="9" spans="1:17" x14ac:dyDescent="0.3">
      <c r="A9" t="s">
        <v>37</v>
      </c>
      <c r="B9" t="s">
        <v>38</v>
      </c>
      <c r="C9" t="s">
        <v>39</v>
      </c>
      <c r="D9" s="1">
        <v>45855</v>
      </c>
      <c r="E9" s="1">
        <v>45870</v>
      </c>
      <c r="F9" s="5">
        <v>15</v>
      </c>
      <c r="G9" s="2">
        <v>851133</v>
      </c>
      <c r="H9" s="5">
        <v>6305789</v>
      </c>
      <c r="I9" s="5">
        <v>35943</v>
      </c>
      <c r="J9" s="5">
        <v>614</v>
      </c>
      <c r="K9" s="2">
        <v>493355</v>
      </c>
      <c r="L9" s="3">
        <v>5.7000004281779803E-3</v>
      </c>
      <c r="M9" s="3">
        <v>1.7082603010321901E-2</v>
      </c>
      <c r="N9" s="7">
        <v>23.680099999999999</v>
      </c>
      <c r="O9" s="7">
        <v>1386.2101</v>
      </c>
      <c r="P9" s="4">
        <v>-0.42035498564854101</v>
      </c>
      <c r="Q9" s="8">
        <v>-357778</v>
      </c>
    </row>
    <row r="10" spans="1:17" x14ac:dyDescent="0.3">
      <c r="A10" t="s">
        <v>40</v>
      </c>
      <c r="B10" t="s">
        <v>41</v>
      </c>
      <c r="C10" t="s">
        <v>30</v>
      </c>
      <c r="D10" s="1">
        <v>45912</v>
      </c>
      <c r="E10" s="1">
        <v>45942</v>
      </c>
      <c r="F10" s="5">
        <v>30</v>
      </c>
      <c r="G10" s="2">
        <v>46123</v>
      </c>
      <c r="H10" s="5">
        <v>427037</v>
      </c>
      <c r="I10" s="5">
        <v>11530</v>
      </c>
      <c r="J10" s="5">
        <v>423</v>
      </c>
      <c r="K10" s="2">
        <v>783295</v>
      </c>
      <c r="L10" s="3">
        <v>2.70000023417175E-2</v>
      </c>
      <c r="M10" s="3">
        <v>3.6686903729401601E-2</v>
      </c>
      <c r="N10" s="7">
        <v>4.0003000000000002</v>
      </c>
      <c r="O10" s="7">
        <v>109.0378</v>
      </c>
      <c r="P10" s="4">
        <v>15.982741799102399</v>
      </c>
      <c r="Q10" s="8">
        <v>737172</v>
      </c>
    </row>
    <row r="11" spans="1:17" x14ac:dyDescent="0.3">
      <c r="A11" t="s">
        <v>42</v>
      </c>
      <c r="B11" t="s">
        <v>43</v>
      </c>
      <c r="C11" t="s">
        <v>22</v>
      </c>
      <c r="D11" s="1">
        <v>45852</v>
      </c>
      <c r="E11" s="1">
        <v>45873</v>
      </c>
      <c r="F11" s="5">
        <v>21</v>
      </c>
      <c r="G11" s="2">
        <v>20122</v>
      </c>
      <c r="H11" s="5">
        <v>444775</v>
      </c>
      <c r="I11" s="5">
        <v>13877</v>
      </c>
      <c r="J11" s="5">
        <v>641</v>
      </c>
      <c r="K11" s="2">
        <v>801606</v>
      </c>
      <c r="L11" s="3">
        <v>3.1200044966556099E-2</v>
      </c>
      <c r="M11" s="3">
        <v>4.61915399582042E-2</v>
      </c>
      <c r="N11" s="7">
        <v>1.45</v>
      </c>
      <c r="O11" s="7">
        <v>31.3916</v>
      </c>
      <c r="P11" s="4">
        <v>38.837292515654497</v>
      </c>
      <c r="Q11" s="8">
        <v>781484</v>
      </c>
    </row>
    <row r="12" spans="1:17" x14ac:dyDescent="0.3">
      <c r="A12" t="s">
        <v>44</v>
      </c>
      <c r="B12" t="s">
        <v>45</v>
      </c>
      <c r="C12" t="s">
        <v>30</v>
      </c>
      <c r="D12" s="1">
        <v>45872</v>
      </c>
      <c r="E12" s="1">
        <v>45882</v>
      </c>
      <c r="F12" s="5">
        <v>10</v>
      </c>
      <c r="G12" s="2">
        <v>165139</v>
      </c>
      <c r="H12" s="5">
        <v>988593</v>
      </c>
      <c r="I12" s="5">
        <v>31635</v>
      </c>
      <c r="J12" s="5">
        <v>2442</v>
      </c>
      <c r="K12" s="2">
        <v>15677287</v>
      </c>
      <c r="L12" s="3">
        <v>3.20000242769269E-2</v>
      </c>
      <c r="M12" s="3">
        <v>7.7192982456140397E-2</v>
      </c>
      <c r="N12" s="7">
        <v>5.2201000000000004</v>
      </c>
      <c r="O12" s="7">
        <v>67.624499999999998</v>
      </c>
      <c r="P12" s="4">
        <v>93.9338859990674</v>
      </c>
      <c r="Q12" s="8">
        <v>15512148</v>
      </c>
    </row>
    <row r="13" spans="1:17" x14ac:dyDescent="0.3">
      <c r="A13" t="s">
        <v>46</v>
      </c>
      <c r="B13" t="s">
        <v>47</v>
      </c>
      <c r="C13" t="s">
        <v>39</v>
      </c>
      <c r="D13" s="1">
        <v>45858</v>
      </c>
      <c r="E13" s="1">
        <v>45918</v>
      </c>
      <c r="F13" s="5">
        <v>60</v>
      </c>
      <c r="G13" s="2">
        <v>567406</v>
      </c>
      <c r="H13" s="5">
        <v>15148666</v>
      </c>
      <c r="I13" s="5">
        <v>22723</v>
      </c>
      <c r="J13" s="5">
        <v>515</v>
      </c>
      <c r="K13" s="23"/>
      <c r="L13" s="3">
        <v>1.50000006601241E-3</v>
      </c>
      <c r="M13" s="3">
        <v>2.26642608810456E-2</v>
      </c>
      <c r="N13" s="7">
        <v>24.970600000000001</v>
      </c>
      <c r="O13" s="7">
        <v>1101.7592</v>
      </c>
      <c r="P13" s="12"/>
      <c r="Q13" s="11"/>
    </row>
    <row r="14" spans="1:17" x14ac:dyDescent="0.3">
      <c r="A14" t="s">
        <v>48</v>
      </c>
      <c r="B14" t="s">
        <v>49</v>
      </c>
      <c r="C14" t="s">
        <v>30</v>
      </c>
      <c r="D14" s="1">
        <v>45710</v>
      </c>
      <c r="E14" s="1">
        <v>45715</v>
      </c>
      <c r="F14" s="5">
        <v>5</v>
      </c>
      <c r="G14" s="2">
        <v>25061</v>
      </c>
      <c r="H14" s="5">
        <v>125884</v>
      </c>
      <c r="I14" s="5">
        <v>3915</v>
      </c>
      <c r="J14" s="5">
        <v>301</v>
      </c>
      <c r="K14" s="2">
        <v>647308</v>
      </c>
      <c r="L14" s="3">
        <v>3.1100060373041801E-2</v>
      </c>
      <c r="M14" s="3">
        <v>7.6883780332056201E-2</v>
      </c>
      <c r="N14" s="7">
        <v>6.4013</v>
      </c>
      <c r="O14" s="7">
        <v>83.259100000000004</v>
      </c>
      <c r="P14" s="4">
        <v>24.829296516499699</v>
      </c>
      <c r="Q14" s="8">
        <v>622247</v>
      </c>
    </row>
    <row r="15" spans="1:17" x14ac:dyDescent="0.3">
      <c r="A15" t="s">
        <v>50</v>
      </c>
      <c r="B15" t="s">
        <v>51</v>
      </c>
      <c r="C15" t="s">
        <v>30</v>
      </c>
      <c r="D15" s="1">
        <v>45835</v>
      </c>
      <c r="E15" s="1">
        <v>45850</v>
      </c>
      <c r="F15" s="5">
        <v>15</v>
      </c>
      <c r="G15" s="2">
        <v>182883</v>
      </c>
      <c r="H15" s="5">
        <v>1887967</v>
      </c>
      <c r="I15" s="5">
        <v>35305</v>
      </c>
      <c r="J15" s="5">
        <v>2503</v>
      </c>
      <c r="K15" s="2">
        <v>8206655</v>
      </c>
      <c r="L15" s="3">
        <v>1.8700009057361699E-2</v>
      </c>
      <c r="M15" s="3">
        <v>7.0896473587310604E-2</v>
      </c>
      <c r="N15" s="7">
        <v>5.1801000000000004</v>
      </c>
      <c r="O15" s="7">
        <v>73.0655</v>
      </c>
      <c r="P15" s="4">
        <v>43.873799095596603</v>
      </c>
      <c r="Q15" s="8">
        <v>8023772</v>
      </c>
    </row>
    <row r="16" spans="1:17" x14ac:dyDescent="0.3">
      <c r="A16" t="s">
        <v>52</v>
      </c>
      <c r="B16" t="s">
        <v>53</v>
      </c>
      <c r="C16" t="s">
        <v>25</v>
      </c>
      <c r="D16" s="1">
        <v>45903</v>
      </c>
      <c r="E16" s="1">
        <v>45918</v>
      </c>
      <c r="F16" s="5">
        <v>15</v>
      </c>
      <c r="G16" s="2">
        <v>124640</v>
      </c>
      <c r="H16" s="5">
        <v>563602</v>
      </c>
      <c r="I16" s="5">
        <v>15330</v>
      </c>
      <c r="J16" s="5">
        <v>1781</v>
      </c>
      <c r="K16" s="2">
        <v>4332315</v>
      </c>
      <c r="L16" s="3">
        <v>2.7200045422124099E-2</v>
      </c>
      <c r="M16" s="3">
        <v>0.11617742987606</v>
      </c>
      <c r="N16" s="7">
        <v>8.1304999999999996</v>
      </c>
      <c r="O16" s="7">
        <v>69.983199999999997</v>
      </c>
      <c r="P16" s="4">
        <v>33.758624839537902</v>
      </c>
      <c r="Q16" s="8">
        <v>4207675</v>
      </c>
    </row>
    <row r="17" spans="1:17" x14ac:dyDescent="0.3">
      <c r="A17" t="s">
        <v>54</v>
      </c>
      <c r="B17" t="s">
        <v>55</v>
      </c>
      <c r="C17" t="s">
        <v>25</v>
      </c>
      <c r="D17" s="1">
        <v>45791</v>
      </c>
      <c r="E17" s="1">
        <v>45798</v>
      </c>
      <c r="F17" s="5">
        <v>7</v>
      </c>
      <c r="G17" s="2">
        <v>311789</v>
      </c>
      <c r="H17" s="5">
        <v>1743837</v>
      </c>
      <c r="I17" s="5">
        <v>44991</v>
      </c>
      <c r="J17" s="5">
        <v>4580</v>
      </c>
      <c r="K17" s="2">
        <v>24624688</v>
      </c>
      <c r="L17" s="3">
        <v>2.58000030966197E-2</v>
      </c>
      <c r="M17" s="3">
        <v>0.101798137405259</v>
      </c>
      <c r="N17" s="7">
        <v>6.93</v>
      </c>
      <c r="O17" s="7">
        <v>68.0762</v>
      </c>
      <c r="P17" s="4">
        <v>77.978693924416802</v>
      </c>
      <c r="Q17" s="8">
        <v>24312899</v>
      </c>
    </row>
    <row r="18" spans="1:17" x14ac:dyDescent="0.3">
      <c r="A18" t="s">
        <v>56</v>
      </c>
      <c r="B18" t="s">
        <v>57</v>
      </c>
      <c r="C18" t="s">
        <v>39</v>
      </c>
      <c r="D18" s="1">
        <v>45780</v>
      </c>
      <c r="E18" s="1">
        <v>45794</v>
      </c>
      <c r="F18" s="5">
        <v>14</v>
      </c>
      <c r="G18" s="2">
        <v>570148</v>
      </c>
      <c r="H18" s="5">
        <v>8104285</v>
      </c>
      <c r="I18" s="5">
        <v>17019</v>
      </c>
      <c r="J18" s="5">
        <v>347</v>
      </c>
      <c r="K18" s="2">
        <v>711078</v>
      </c>
      <c r="L18" s="3">
        <v>2.10000018508727E-3</v>
      </c>
      <c r="M18" s="3">
        <v>2.0388977025677199E-2</v>
      </c>
      <c r="N18" s="7">
        <v>33.500700000000002</v>
      </c>
      <c r="O18" s="7">
        <v>1643.0778</v>
      </c>
      <c r="P18" s="4">
        <v>0.24718143359268099</v>
      </c>
      <c r="Q18" s="8">
        <v>140930</v>
      </c>
    </row>
    <row r="19" spans="1:17" x14ac:dyDescent="0.3">
      <c r="A19" t="s">
        <v>58</v>
      </c>
      <c r="B19" t="s">
        <v>59</v>
      </c>
      <c r="C19" t="s">
        <v>30</v>
      </c>
      <c r="D19" s="1">
        <v>45886</v>
      </c>
      <c r="E19" s="1">
        <v>45907</v>
      </c>
      <c r="F19" s="5">
        <v>21</v>
      </c>
      <c r="G19" s="2">
        <v>236960</v>
      </c>
      <c r="H19" s="5">
        <v>616345</v>
      </c>
      <c r="I19" s="5">
        <v>27489</v>
      </c>
      <c r="J19" s="5">
        <v>2124</v>
      </c>
      <c r="K19" s="2">
        <v>1688194</v>
      </c>
      <c r="L19" s="3">
        <v>4.4600021092083199E-2</v>
      </c>
      <c r="M19" s="3">
        <v>7.7267270544581504E-2</v>
      </c>
      <c r="N19" s="7">
        <v>8.6202000000000005</v>
      </c>
      <c r="O19" s="7">
        <v>111.56310000000001</v>
      </c>
      <c r="P19" s="4">
        <v>6.1243838622552298</v>
      </c>
      <c r="Q19" s="8">
        <v>1451234</v>
      </c>
    </row>
    <row r="20" spans="1:17" x14ac:dyDescent="0.3">
      <c r="A20" t="s">
        <v>60</v>
      </c>
      <c r="B20" t="s">
        <v>61</v>
      </c>
      <c r="C20" t="s">
        <v>22</v>
      </c>
      <c r="D20" s="1">
        <v>45903</v>
      </c>
      <c r="E20" s="1">
        <v>45908</v>
      </c>
      <c r="F20" s="5">
        <v>5</v>
      </c>
      <c r="G20" s="2">
        <v>47793</v>
      </c>
      <c r="H20" s="5">
        <v>495642</v>
      </c>
      <c r="I20" s="5">
        <v>23543</v>
      </c>
      <c r="J20" s="5">
        <v>2081</v>
      </c>
      <c r="K20" s="23"/>
      <c r="L20" s="3">
        <v>4.7500010087926398E-2</v>
      </c>
      <c r="M20" s="3">
        <v>8.8391453935352304E-2</v>
      </c>
      <c r="N20" s="7">
        <v>2.0299999999999998</v>
      </c>
      <c r="O20" s="7">
        <v>22.9664</v>
      </c>
      <c r="P20" s="12"/>
      <c r="Q20" s="11"/>
    </row>
    <row r="21" spans="1:17" x14ac:dyDescent="0.3">
      <c r="A21" t="s">
        <v>62</v>
      </c>
      <c r="B21" t="s">
        <v>63</v>
      </c>
      <c r="C21" t="s">
        <v>39</v>
      </c>
      <c r="D21" s="1">
        <v>45828</v>
      </c>
      <c r="E21" s="1">
        <v>45858</v>
      </c>
      <c r="F21" s="5">
        <v>30</v>
      </c>
      <c r="G21" s="2">
        <v>240963</v>
      </c>
      <c r="H21" s="5">
        <v>1166101</v>
      </c>
      <c r="I21" s="5">
        <v>6880</v>
      </c>
      <c r="J21" s="5">
        <v>123</v>
      </c>
      <c r="K21" s="2">
        <v>104387</v>
      </c>
      <c r="L21" s="3">
        <v>5.90000351599047E-3</v>
      </c>
      <c r="M21" s="3">
        <v>1.7877906976744198E-2</v>
      </c>
      <c r="N21" s="7">
        <v>35.023699999999998</v>
      </c>
      <c r="O21" s="7">
        <v>1959.0488</v>
      </c>
      <c r="P21" s="4">
        <v>-0.56679241211306297</v>
      </c>
      <c r="Q21" s="8">
        <v>-136576</v>
      </c>
    </row>
    <row r="22" spans="1:17" x14ac:dyDescent="0.3">
      <c r="A22" t="s">
        <v>64</v>
      </c>
      <c r="B22" t="s">
        <v>65</v>
      </c>
      <c r="C22" t="s">
        <v>30</v>
      </c>
      <c r="D22" s="1">
        <v>45732</v>
      </c>
      <c r="E22" s="1">
        <v>45777</v>
      </c>
      <c r="F22" s="5">
        <v>45</v>
      </c>
      <c r="G22" s="2">
        <v>185320</v>
      </c>
      <c r="H22" s="5">
        <v>524346</v>
      </c>
      <c r="I22" s="5">
        <v>23281</v>
      </c>
      <c r="J22" s="5">
        <v>1382</v>
      </c>
      <c r="K22" s="2">
        <v>2368262</v>
      </c>
      <c r="L22" s="3">
        <v>4.4400071708375802E-2</v>
      </c>
      <c r="M22" s="3">
        <v>5.9361711266698203E-2</v>
      </c>
      <c r="N22" s="7">
        <v>7.9600999999999997</v>
      </c>
      <c r="O22" s="7">
        <v>134.09549999999999</v>
      </c>
      <c r="P22" s="4">
        <v>11.779311461256199</v>
      </c>
      <c r="Q22" s="8">
        <v>2182942</v>
      </c>
    </row>
    <row r="23" spans="1:17" x14ac:dyDescent="0.3">
      <c r="A23" t="s">
        <v>66</v>
      </c>
      <c r="B23" t="s">
        <v>67</v>
      </c>
      <c r="C23" t="s">
        <v>39</v>
      </c>
      <c r="D23" s="1">
        <v>45927</v>
      </c>
      <c r="E23" s="1">
        <v>45934</v>
      </c>
      <c r="F23" s="5">
        <v>7</v>
      </c>
      <c r="G23" s="2">
        <v>296014</v>
      </c>
      <c r="H23" s="5">
        <v>2120555</v>
      </c>
      <c r="I23" s="5">
        <v>11451</v>
      </c>
      <c r="J23" s="5">
        <v>303</v>
      </c>
      <c r="K23" s="2">
        <v>126691</v>
      </c>
      <c r="L23" s="3">
        <v>5.4000014147239797E-3</v>
      </c>
      <c r="M23" s="3">
        <v>2.6460571129159002E-2</v>
      </c>
      <c r="N23" s="7">
        <v>25.8505</v>
      </c>
      <c r="O23" s="7">
        <v>976.94389999999999</v>
      </c>
      <c r="P23" s="4">
        <v>-0.57201010763004401</v>
      </c>
      <c r="Q23" s="8">
        <v>-169323</v>
      </c>
    </row>
    <row r="24" spans="1:17" x14ac:dyDescent="0.3">
      <c r="A24" t="s">
        <v>68</v>
      </c>
      <c r="B24" t="s">
        <v>69</v>
      </c>
      <c r="C24" t="s">
        <v>39</v>
      </c>
      <c r="D24" s="1">
        <v>45790</v>
      </c>
      <c r="E24" s="1">
        <v>45811</v>
      </c>
      <c r="F24" s="5">
        <v>21</v>
      </c>
      <c r="G24" s="2">
        <v>720795</v>
      </c>
      <c r="H24" s="5">
        <v>16639999</v>
      </c>
      <c r="I24" s="5">
        <v>28288</v>
      </c>
      <c r="J24" s="5">
        <v>797</v>
      </c>
      <c r="K24" s="2">
        <v>1897290</v>
      </c>
      <c r="L24" s="3">
        <v>1.7000001021634701E-3</v>
      </c>
      <c r="M24" s="3">
        <v>2.81744909502262E-2</v>
      </c>
      <c r="N24" s="7">
        <v>25.480599999999999</v>
      </c>
      <c r="O24" s="7">
        <v>904.38520000000005</v>
      </c>
      <c r="P24" s="4">
        <v>1.6322185919713601</v>
      </c>
      <c r="Q24" s="8">
        <v>1176495</v>
      </c>
    </row>
    <row r="25" spans="1:17" x14ac:dyDescent="0.3">
      <c r="A25" t="s">
        <v>70</v>
      </c>
      <c r="B25" t="s">
        <v>71</v>
      </c>
      <c r="C25" t="s">
        <v>39</v>
      </c>
      <c r="D25" s="1">
        <v>45724</v>
      </c>
      <c r="E25" s="1">
        <v>45784</v>
      </c>
      <c r="F25" s="5">
        <v>60</v>
      </c>
      <c r="G25" s="2">
        <v>707658</v>
      </c>
      <c r="H25" s="5">
        <v>10455833</v>
      </c>
      <c r="I25" s="5">
        <v>37641</v>
      </c>
      <c r="J25" s="5">
        <v>1035</v>
      </c>
      <c r="K25" s="2">
        <v>1153840</v>
      </c>
      <c r="L25" s="3">
        <v>3.6000001147684698E-3</v>
      </c>
      <c r="M25" s="3">
        <v>2.7496612736112199E-2</v>
      </c>
      <c r="N25" s="7">
        <v>18.8002</v>
      </c>
      <c r="O25" s="7">
        <v>683.72749999999996</v>
      </c>
      <c r="P25" s="4">
        <v>0.63050513100961203</v>
      </c>
      <c r="Q25" s="8">
        <v>446182</v>
      </c>
    </row>
    <row r="26" spans="1:17" x14ac:dyDescent="0.3">
      <c r="A26" t="s">
        <v>72</v>
      </c>
      <c r="B26" t="s">
        <v>73</v>
      </c>
      <c r="C26" t="s">
        <v>30</v>
      </c>
      <c r="D26" s="1">
        <v>45942</v>
      </c>
      <c r="E26" s="1">
        <v>45949</v>
      </c>
      <c r="F26" s="5">
        <v>7</v>
      </c>
      <c r="G26" s="2">
        <v>41188</v>
      </c>
      <c r="H26" s="5">
        <v>271372</v>
      </c>
      <c r="I26" s="5">
        <v>8304</v>
      </c>
      <c r="J26" s="5">
        <v>442</v>
      </c>
      <c r="K26" s="2">
        <v>288180</v>
      </c>
      <c r="L26" s="3">
        <v>3.0600061907639701E-2</v>
      </c>
      <c r="M26" s="3">
        <v>5.3227360308285197E-2</v>
      </c>
      <c r="N26" s="7">
        <v>4.96</v>
      </c>
      <c r="O26" s="7">
        <v>93.185500000000005</v>
      </c>
      <c r="P26" s="4">
        <v>5.9966980673982704</v>
      </c>
      <c r="Q26" s="8">
        <v>246992</v>
      </c>
    </row>
    <row r="27" spans="1:17" x14ac:dyDescent="0.3">
      <c r="A27" t="s">
        <v>74</v>
      </c>
      <c r="B27" t="s">
        <v>75</v>
      </c>
      <c r="C27" t="s">
        <v>25</v>
      </c>
      <c r="D27" s="1">
        <v>45672</v>
      </c>
      <c r="E27" s="1">
        <v>45732</v>
      </c>
      <c r="F27" s="5">
        <v>60</v>
      </c>
      <c r="G27" s="2">
        <v>73223</v>
      </c>
      <c r="H27" s="5">
        <v>234251</v>
      </c>
      <c r="I27" s="5">
        <v>9698</v>
      </c>
      <c r="J27" s="5">
        <v>779</v>
      </c>
      <c r="K27" s="2">
        <v>2720906</v>
      </c>
      <c r="L27" s="3">
        <v>4.1400036712756799E-2</v>
      </c>
      <c r="M27" s="3">
        <v>8.0325840379459695E-2</v>
      </c>
      <c r="N27" s="7">
        <v>7.5503</v>
      </c>
      <c r="O27" s="7">
        <v>93.996099999999998</v>
      </c>
      <c r="P27" s="4">
        <v>36.159171298635698</v>
      </c>
      <c r="Q27" s="8">
        <v>2647683</v>
      </c>
    </row>
    <row r="28" spans="1:17" x14ac:dyDescent="0.3">
      <c r="A28" t="s">
        <v>76</v>
      </c>
      <c r="B28" t="s">
        <v>77</v>
      </c>
      <c r="C28" t="s">
        <v>39</v>
      </c>
      <c r="D28" s="1">
        <v>45784</v>
      </c>
      <c r="E28" s="1">
        <v>45844</v>
      </c>
      <c r="F28" s="5">
        <v>60</v>
      </c>
      <c r="G28" s="2">
        <v>883183</v>
      </c>
      <c r="H28" s="5">
        <v>5824444</v>
      </c>
      <c r="I28" s="5">
        <v>31452</v>
      </c>
      <c r="J28" s="5">
        <v>899</v>
      </c>
      <c r="K28" s="2">
        <v>3101499</v>
      </c>
      <c r="L28" s="3">
        <v>5.4000004120565003E-3</v>
      </c>
      <c r="M28" s="3">
        <v>2.8583237949891899E-2</v>
      </c>
      <c r="N28" s="7">
        <v>28.080300000000001</v>
      </c>
      <c r="O28" s="7">
        <v>982.40599999999995</v>
      </c>
      <c r="P28" s="4">
        <v>2.5117285998484999</v>
      </c>
      <c r="Q28" s="8">
        <v>2218316</v>
      </c>
    </row>
    <row r="29" spans="1:17" x14ac:dyDescent="0.3">
      <c r="A29" t="s">
        <v>78</v>
      </c>
      <c r="B29" t="s">
        <v>79</v>
      </c>
      <c r="C29" t="s">
        <v>22</v>
      </c>
      <c r="D29" s="1">
        <v>45884</v>
      </c>
      <c r="E29" s="1">
        <v>45914</v>
      </c>
      <c r="F29" s="5">
        <v>30</v>
      </c>
      <c r="G29" s="2">
        <v>25708</v>
      </c>
      <c r="H29" s="5">
        <v>630898</v>
      </c>
      <c r="I29" s="5">
        <v>21072</v>
      </c>
      <c r="J29" s="5">
        <v>739</v>
      </c>
      <c r="K29" s="2">
        <v>2225280</v>
      </c>
      <c r="L29" s="3">
        <v>3.3400010778287498E-2</v>
      </c>
      <c r="M29" s="3">
        <v>3.5070235383447203E-2</v>
      </c>
      <c r="N29" s="7">
        <v>1.22</v>
      </c>
      <c r="O29" s="7">
        <v>34.787599999999998</v>
      </c>
      <c r="P29" s="4">
        <v>85.5598257351797</v>
      </c>
      <c r="Q29" s="8">
        <v>2199572</v>
      </c>
    </row>
    <row r="30" spans="1:17" x14ac:dyDescent="0.3">
      <c r="A30" t="s">
        <v>80</v>
      </c>
      <c r="B30" t="s">
        <v>81</v>
      </c>
      <c r="C30" t="s">
        <v>39</v>
      </c>
      <c r="D30" s="1">
        <v>45770</v>
      </c>
      <c r="E30" s="1">
        <v>45815</v>
      </c>
      <c r="F30" s="5">
        <v>45</v>
      </c>
      <c r="G30" s="2">
        <v>248697</v>
      </c>
      <c r="H30" s="5">
        <v>2930294</v>
      </c>
      <c r="I30" s="5">
        <v>9963</v>
      </c>
      <c r="J30" s="5">
        <v>296</v>
      </c>
      <c r="K30" s="2">
        <v>186047</v>
      </c>
      <c r="L30" s="3">
        <v>3.4000001365050701E-3</v>
      </c>
      <c r="M30" s="3">
        <v>2.9709926728896899E-2</v>
      </c>
      <c r="N30" s="7">
        <v>24.9621</v>
      </c>
      <c r="O30" s="7">
        <v>840.19259999999997</v>
      </c>
      <c r="P30" s="4">
        <v>-0.25191297040173399</v>
      </c>
      <c r="Q30" s="8">
        <v>-62650</v>
      </c>
    </row>
    <row r="31" spans="1:17" x14ac:dyDescent="0.3">
      <c r="A31" t="s">
        <v>82</v>
      </c>
      <c r="B31" t="s">
        <v>83</v>
      </c>
      <c r="C31" t="s">
        <v>22</v>
      </c>
      <c r="D31" s="1">
        <v>45840</v>
      </c>
      <c r="E31" s="1">
        <v>45854</v>
      </c>
      <c r="F31" s="5">
        <v>14</v>
      </c>
      <c r="G31" s="2">
        <v>25874</v>
      </c>
      <c r="H31" s="5">
        <v>534761</v>
      </c>
      <c r="I31" s="5">
        <v>20214</v>
      </c>
      <c r="J31" s="5">
        <v>1085</v>
      </c>
      <c r="K31" s="2">
        <v>1928259</v>
      </c>
      <c r="L31" s="3">
        <v>3.7800063953803698E-2</v>
      </c>
      <c r="M31" s="3">
        <v>5.3675670327495803E-2</v>
      </c>
      <c r="N31" s="7">
        <v>1.28</v>
      </c>
      <c r="O31" s="7">
        <v>23.847000000000001</v>
      </c>
      <c r="P31" s="4">
        <v>73.524967148488798</v>
      </c>
      <c r="Q31" s="8">
        <v>1902385</v>
      </c>
    </row>
    <row r="32" spans="1:17" x14ac:dyDescent="0.3">
      <c r="A32" t="s">
        <v>84</v>
      </c>
      <c r="B32" t="s">
        <v>85</v>
      </c>
      <c r="C32" t="s">
        <v>25</v>
      </c>
      <c r="D32" s="1">
        <v>45715</v>
      </c>
      <c r="E32" s="1">
        <v>45722</v>
      </c>
      <c r="F32" s="5">
        <v>7</v>
      </c>
      <c r="G32" s="2">
        <v>159828</v>
      </c>
      <c r="H32" s="5">
        <v>572953</v>
      </c>
      <c r="I32" s="5">
        <v>13579</v>
      </c>
      <c r="J32" s="5">
        <v>831</v>
      </c>
      <c r="K32" s="2">
        <v>1313171</v>
      </c>
      <c r="L32" s="3">
        <v>2.37000242602796E-2</v>
      </c>
      <c r="M32" s="3">
        <v>6.1197437219235602E-2</v>
      </c>
      <c r="N32" s="7">
        <v>11.770200000000001</v>
      </c>
      <c r="O32" s="7">
        <v>192.3321</v>
      </c>
      <c r="P32" s="4">
        <v>7.2161511124458801</v>
      </c>
      <c r="Q32" s="8">
        <v>1153343</v>
      </c>
    </row>
    <row r="33" spans="1:17" x14ac:dyDescent="0.3">
      <c r="A33" t="s">
        <v>86</v>
      </c>
      <c r="B33" t="s">
        <v>87</v>
      </c>
      <c r="C33" t="s">
        <v>39</v>
      </c>
      <c r="D33" s="1">
        <v>45865</v>
      </c>
      <c r="E33" s="1">
        <v>45880</v>
      </c>
      <c r="F33" s="5">
        <v>15</v>
      </c>
      <c r="G33" s="2">
        <v>306623</v>
      </c>
      <c r="H33" s="5">
        <v>2997777</v>
      </c>
      <c r="I33" s="5">
        <v>10792</v>
      </c>
      <c r="J33" s="5">
        <v>214</v>
      </c>
      <c r="K33" s="2">
        <v>90396</v>
      </c>
      <c r="L33" s="3">
        <v>3.6000009340254502E-3</v>
      </c>
      <c r="M33" s="3">
        <v>1.9829503335804299E-2</v>
      </c>
      <c r="N33" s="7">
        <v>28.412099999999999</v>
      </c>
      <c r="O33" s="7">
        <v>1432.8178</v>
      </c>
      <c r="P33" s="4">
        <v>-0.70518845618234804</v>
      </c>
      <c r="Q33" s="8">
        <v>-216227</v>
      </c>
    </row>
    <row r="34" spans="1:17" x14ac:dyDescent="0.3">
      <c r="A34" t="s">
        <v>88</v>
      </c>
      <c r="B34" t="s">
        <v>89</v>
      </c>
      <c r="C34" t="s">
        <v>30</v>
      </c>
      <c r="D34" s="1">
        <v>45982</v>
      </c>
      <c r="E34" s="1">
        <v>45987</v>
      </c>
      <c r="F34" s="5">
        <v>5</v>
      </c>
      <c r="G34" s="2">
        <v>48217</v>
      </c>
      <c r="H34" s="5">
        <v>352742</v>
      </c>
      <c r="I34" s="5">
        <v>6173</v>
      </c>
      <c r="J34" s="5">
        <v>440</v>
      </c>
      <c r="K34" s="2">
        <v>98964</v>
      </c>
      <c r="L34" s="3">
        <v>1.75000425239977E-2</v>
      </c>
      <c r="M34" s="3">
        <v>7.1278146768184003E-2</v>
      </c>
      <c r="N34" s="7">
        <v>7.8109999999999999</v>
      </c>
      <c r="O34" s="7">
        <v>109.58410000000001</v>
      </c>
      <c r="P34" s="4">
        <v>1.05247112014435</v>
      </c>
      <c r="Q34" s="8">
        <v>50747</v>
      </c>
    </row>
    <row r="35" spans="1:17" x14ac:dyDescent="0.3">
      <c r="A35" t="s">
        <v>90</v>
      </c>
      <c r="B35" t="s">
        <v>91</v>
      </c>
      <c r="C35" t="s">
        <v>25</v>
      </c>
      <c r="D35" s="1">
        <v>45927</v>
      </c>
      <c r="E35" s="1">
        <v>45932</v>
      </c>
      <c r="F35" s="5">
        <v>5</v>
      </c>
      <c r="G35" s="2">
        <v>165009</v>
      </c>
      <c r="H35" s="5">
        <v>265974</v>
      </c>
      <c r="I35" s="5">
        <v>14336</v>
      </c>
      <c r="J35" s="5">
        <v>874</v>
      </c>
      <c r="K35" s="2">
        <v>1399654</v>
      </c>
      <c r="L35" s="3">
        <v>5.3900005263672397E-2</v>
      </c>
      <c r="M35" s="3">
        <v>6.0965401785714302E-2</v>
      </c>
      <c r="N35" s="7">
        <v>11.5101</v>
      </c>
      <c r="O35" s="7">
        <v>188.79750000000001</v>
      </c>
      <c r="P35" s="4">
        <v>7.4822888448508902</v>
      </c>
      <c r="Q35" s="8">
        <v>1234645</v>
      </c>
    </row>
    <row r="36" spans="1:17" x14ac:dyDescent="0.3">
      <c r="A36" t="s">
        <v>92</v>
      </c>
      <c r="B36" t="s">
        <v>93</v>
      </c>
      <c r="C36" t="s">
        <v>39</v>
      </c>
      <c r="D36" s="1">
        <v>45886</v>
      </c>
      <c r="E36" s="1">
        <v>45901</v>
      </c>
      <c r="F36" s="5">
        <v>15</v>
      </c>
      <c r="G36" s="2">
        <v>674380</v>
      </c>
      <c r="H36" s="5">
        <v>8835833</v>
      </c>
      <c r="I36" s="5">
        <v>21206</v>
      </c>
      <c r="J36" s="5">
        <v>553</v>
      </c>
      <c r="K36" s="2">
        <v>141611</v>
      </c>
      <c r="L36" s="3">
        <v>2.40000009054042E-3</v>
      </c>
      <c r="M36" s="3">
        <v>2.60775252287089E-2</v>
      </c>
      <c r="N36" s="7">
        <v>31.801400000000001</v>
      </c>
      <c r="O36" s="7">
        <v>1219.4937</v>
      </c>
      <c r="P36" s="4">
        <v>-0.790013049022806</v>
      </c>
      <c r="Q36" s="8">
        <v>-532769</v>
      </c>
    </row>
    <row r="37" spans="1:17" x14ac:dyDescent="0.3">
      <c r="A37" t="s">
        <v>94</v>
      </c>
      <c r="B37" t="s">
        <v>95</v>
      </c>
      <c r="C37" t="s">
        <v>22</v>
      </c>
      <c r="D37" s="1">
        <v>45712</v>
      </c>
      <c r="E37" s="1">
        <v>45757</v>
      </c>
      <c r="F37" s="5">
        <v>45</v>
      </c>
      <c r="G37" s="2">
        <v>48143</v>
      </c>
      <c r="H37" s="5">
        <v>346982</v>
      </c>
      <c r="I37" s="5">
        <v>13914</v>
      </c>
      <c r="J37" s="5">
        <v>900</v>
      </c>
      <c r="K37" s="2">
        <v>4963160</v>
      </c>
      <c r="L37" s="3">
        <v>4.0100062827466601E-2</v>
      </c>
      <c r="M37" s="3">
        <v>6.4683053040103494E-2</v>
      </c>
      <c r="N37" s="7">
        <v>3.46</v>
      </c>
      <c r="O37" s="7">
        <v>53.492199999999997</v>
      </c>
      <c r="P37" s="4">
        <v>102.092038302557</v>
      </c>
      <c r="Q37" s="8">
        <v>4915017</v>
      </c>
    </row>
    <row r="38" spans="1:17" x14ac:dyDescent="0.3">
      <c r="A38" t="s">
        <v>96</v>
      </c>
      <c r="B38" t="s">
        <v>97</v>
      </c>
      <c r="C38" t="s">
        <v>22</v>
      </c>
      <c r="D38" s="1">
        <v>45865</v>
      </c>
      <c r="E38" s="1">
        <v>45875</v>
      </c>
      <c r="F38" s="5">
        <v>10</v>
      </c>
      <c r="G38" s="2">
        <v>27777</v>
      </c>
      <c r="H38" s="5">
        <v>129502</v>
      </c>
      <c r="I38" s="5">
        <v>7032</v>
      </c>
      <c r="J38" s="5">
        <v>217</v>
      </c>
      <c r="K38" s="2">
        <v>1482775</v>
      </c>
      <c r="L38" s="3">
        <v>5.4300319686182402E-2</v>
      </c>
      <c r="M38" s="3">
        <v>3.0858930602957899E-2</v>
      </c>
      <c r="N38" s="7">
        <v>3.9500999999999999</v>
      </c>
      <c r="O38" s="7">
        <v>128.00460000000001</v>
      </c>
      <c r="P38" s="4">
        <v>52.381394679050999</v>
      </c>
      <c r="Q38" s="8">
        <v>1454998</v>
      </c>
    </row>
    <row r="39" spans="1:17" x14ac:dyDescent="0.3">
      <c r="A39" t="s">
        <v>98</v>
      </c>
      <c r="B39" t="s">
        <v>99</v>
      </c>
      <c r="C39" t="s">
        <v>30</v>
      </c>
      <c r="D39" s="1">
        <v>45917</v>
      </c>
      <c r="E39" s="1">
        <v>45947</v>
      </c>
      <c r="F39" s="5">
        <v>30</v>
      </c>
      <c r="G39" s="2">
        <v>200778</v>
      </c>
      <c r="H39" s="5">
        <v>689030</v>
      </c>
      <c r="I39" s="5">
        <v>22738</v>
      </c>
      <c r="J39" s="5">
        <v>1400</v>
      </c>
      <c r="K39" s="2">
        <v>569575</v>
      </c>
      <c r="L39" s="3">
        <v>3.3000014513156199E-2</v>
      </c>
      <c r="M39" s="3">
        <v>6.1570938517020002E-2</v>
      </c>
      <c r="N39" s="7">
        <v>8.8300999999999998</v>
      </c>
      <c r="O39" s="7">
        <v>143.41290000000001</v>
      </c>
      <c r="P39" s="4">
        <v>1.83683969359193</v>
      </c>
      <c r="Q39" s="8">
        <v>368797</v>
      </c>
    </row>
    <row r="40" spans="1:17" x14ac:dyDescent="0.3">
      <c r="A40" t="s">
        <v>100</v>
      </c>
      <c r="B40" t="s">
        <v>101</v>
      </c>
      <c r="C40" t="s">
        <v>15</v>
      </c>
      <c r="D40" s="1">
        <v>45823</v>
      </c>
      <c r="E40" s="1">
        <v>45883</v>
      </c>
      <c r="F40" s="5">
        <v>60</v>
      </c>
      <c r="G40" s="2">
        <v>406320</v>
      </c>
      <c r="H40" s="5">
        <v>10558055</v>
      </c>
      <c r="I40" s="5">
        <v>38009</v>
      </c>
      <c r="J40" s="5">
        <v>357</v>
      </c>
      <c r="K40" s="2">
        <v>82433</v>
      </c>
      <c r="L40" s="3">
        <v>3.6000001894288302E-3</v>
      </c>
      <c r="M40" s="3">
        <v>9.39251229971849E-3</v>
      </c>
      <c r="N40" s="7">
        <v>10.690099999999999</v>
      </c>
      <c r="O40" s="7">
        <v>1138.1513</v>
      </c>
      <c r="P40" s="4">
        <v>-0.797122957275054</v>
      </c>
      <c r="Q40" s="8">
        <v>-323887</v>
      </c>
    </row>
    <row r="41" spans="1:17" x14ac:dyDescent="0.3">
      <c r="A41" t="s">
        <v>102</v>
      </c>
      <c r="B41" t="s">
        <v>103</v>
      </c>
      <c r="C41" t="s">
        <v>25</v>
      </c>
      <c r="D41" s="1">
        <v>45785</v>
      </c>
      <c r="E41" s="1">
        <v>45799</v>
      </c>
      <c r="F41" s="5">
        <v>14</v>
      </c>
      <c r="G41" s="2">
        <v>304626</v>
      </c>
      <c r="H41" s="5">
        <v>1286034</v>
      </c>
      <c r="I41" s="5">
        <v>29836</v>
      </c>
      <c r="J41" s="5">
        <v>3144</v>
      </c>
      <c r="K41" s="2">
        <v>1734795</v>
      </c>
      <c r="L41" s="3">
        <v>2.3200008708945501E-2</v>
      </c>
      <c r="M41" s="3">
        <v>0.105376055771551</v>
      </c>
      <c r="N41" s="7">
        <v>10.210000000000001</v>
      </c>
      <c r="O41" s="7">
        <v>96.891199999999998</v>
      </c>
      <c r="P41" s="4">
        <v>4.69483563451577</v>
      </c>
      <c r="Q41" s="8">
        <v>1430169</v>
      </c>
    </row>
    <row r="42" spans="1:17" x14ac:dyDescent="0.3">
      <c r="A42" t="s">
        <v>104</v>
      </c>
      <c r="B42" t="s">
        <v>105</v>
      </c>
      <c r="C42" t="s">
        <v>30</v>
      </c>
      <c r="D42" s="1">
        <v>45737</v>
      </c>
      <c r="E42" s="1">
        <v>45797</v>
      </c>
      <c r="F42" s="5">
        <v>60</v>
      </c>
      <c r="G42" s="2">
        <v>197371</v>
      </c>
      <c r="H42" s="5">
        <v>613194</v>
      </c>
      <c r="I42" s="5">
        <v>23608</v>
      </c>
      <c r="J42" s="5">
        <v>1317</v>
      </c>
      <c r="K42" s="2">
        <v>4069612</v>
      </c>
      <c r="L42" s="3">
        <v>3.8500050554963E-2</v>
      </c>
      <c r="M42" s="3">
        <v>5.5786174178244698E-2</v>
      </c>
      <c r="N42" s="7">
        <v>8.3603000000000005</v>
      </c>
      <c r="O42" s="7">
        <v>149.86410000000001</v>
      </c>
      <c r="P42" s="4">
        <v>19.619098043785598</v>
      </c>
      <c r="Q42" s="8">
        <v>3872241</v>
      </c>
    </row>
    <row r="43" spans="1:17" x14ac:dyDescent="0.3">
      <c r="A43" t="s">
        <v>106</v>
      </c>
      <c r="B43" t="s">
        <v>107</v>
      </c>
      <c r="C43" t="s">
        <v>25</v>
      </c>
      <c r="D43" s="1">
        <v>45680</v>
      </c>
      <c r="E43" s="1">
        <v>45690</v>
      </c>
      <c r="F43" s="5">
        <v>10</v>
      </c>
      <c r="G43" s="2">
        <v>308949</v>
      </c>
      <c r="H43" s="5">
        <v>749474</v>
      </c>
      <c r="I43" s="5">
        <v>34251</v>
      </c>
      <c r="J43" s="5">
        <v>3596</v>
      </c>
      <c r="K43" s="2">
        <v>9835714</v>
      </c>
      <c r="L43" s="3">
        <v>4.57000509690796E-2</v>
      </c>
      <c r="M43" s="3">
        <v>0.104989635339114</v>
      </c>
      <c r="N43" s="7">
        <v>9.0200999999999993</v>
      </c>
      <c r="O43" s="7">
        <v>85.914599999999993</v>
      </c>
      <c r="P43" s="4">
        <v>30.8360441367345</v>
      </c>
      <c r="Q43" s="8">
        <v>9526765</v>
      </c>
    </row>
    <row r="44" spans="1:17" x14ac:dyDescent="0.3">
      <c r="A44" t="s">
        <v>108</v>
      </c>
      <c r="B44" t="s">
        <v>109</v>
      </c>
      <c r="C44" t="s">
        <v>39</v>
      </c>
      <c r="D44" s="1">
        <v>45701</v>
      </c>
      <c r="E44" s="1">
        <v>45715</v>
      </c>
      <c r="F44" s="5">
        <v>14</v>
      </c>
      <c r="G44" s="2">
        <v>182674</v>
      </c>
      <c r="H44" s="5">
        <v>2709761</v>
      </c>
      <c r="I44" s="5">
        <v>11381</v>
      </c>
      <c r="J44" s="5">
        <v>332</v>
      </c>
      <c r="K44" s="2">
        <v>786202</v>
      </c>
      <c r="L44" s="3">
        <v>4.2000014023376997E-3</v>
      </c>
      <c r="M44" s="3">
        <v>2.9171426060978799E-2</v>
      </c>
      <c r="N44" s="7">
        <v>16.050799999999999</v>
      </c>
      <c r="O44" s="7">
        <v>550.22289999999998</v>
      </c>
      <c r="P44" s="4">
        <v>3.3038527650349798</v>
      </c>
      <c r="Q44" s="8">
        <v>603528</v>
      </c>
    </row>
    <row r="45" spans="1:17" x14ac:dyDescent="0.3">
      <c r="A45" t="s">
        <v>110</v>
      </c>
      <c r="B45" t="s">
        <v>111</v>
      </c>
      <c r="C45" t="s">
        <v>25</v>
      </c>
      <c r="D45" s="1">
        <v>45908</v>
      </c>
      <c r="E45" s="1">
        <v>45922</v>
      </c>
      <c r="F45" s="5">
        <v>14</v>
      </c>
      <c r="G45" s="2">
        <v>178303</v>
      </c>
      <c r="H45" s="5">
        <v>923653</v>
      </c>
      <c r="I45" s="5">
        <v>44243</v>
      </c>
      <c r="J45" s="6">
        <v>161.929405297588</v>
      </c>
      <c r="K45" s="2">
        <v>16310979</v>
      </c>
      <c r="L45" s="3">
        <v>4.7900023060608303E-2</v>
      </c>
      <c r="M45" s="9">
        <v>3.6600005717873562E-3</v>
      </c>
      <c r="N45" s="7">
        <v>4.0301</v>
      </c>
      <c r="O45" s="10">
        <v>1101.1156353740766</v>
      </c>
      <c r="P45" s="4">
        <v>90.478993623214393</v>
      </c>
      <c r="Q45" s="8">
        <v>16132676</v>
      </c>
    </row>
    <row r="46" spans="1:17" x14ac:dyDescent="0.3">
      <c r="A46" t="s">
        <v>112</v>
      </c>
      <c r="B46" t="s">
        <v>113</v>
      </c>
      <c r="C46" t="s">
        <v>39</v>
      </c>
      <c r="D46" s="1">
        <v>45763</v>
      </c>
      <c r="E46" s="1">
        <v>45777</v>
      </c>
      <c r="F46" s="5">
        <v>14</v>
      </c>
      <c r="G46" s="2">
        <v>391944</v>
      </c>
      <c r="H46" s="5">
        <v>1982881</v>
      </c>
      <c r="I46" s="5">
        <v>11699</v>
      </c>
      <c r="J46" s="5">
        <v>87.16291361711589</v>
      </c>
      <c r="K46" s="2">
        <v>175335</v>
      </c>
      <c r="L46" s="3">
        <v>5.9000010590650699E-3</v>
      </c>
      <c r="M46" s="3">
        <v>3.6600005717873562E-3</v>
      </c>
      <c r="N46" s="7">
        <v>33.502400000000002</v>
      </c>
      <c r="O46" s="7">
        <v>3024.6464816227813</v>
      </c>
      <c r="P46" s="4">
        <v>-0.55265293001041005</v>
      </c>
      <c r="Q46" s="8">
        <v>-216609</v>
      </c>
    </row>
    <row r="47" spans="1:17" x14ac:dyDescent="0.3">
      <c r="A47" t="s">
        <v>114</v>
      </c>
      <c r="B47" t="s">
        <v>115</v>
      </c>
      <c r="C47" t="s">
        <v>30</v>
      </c>
      <c r="D47" s="1">
        <v>45697</v>
      </c>
      <c r="E47" s="1">
        <v>45711</v>
      </c>
      <c r="F47" s="5">
        <v>14</v>
      </c>
      <c r="G47" s="2">
        <v>182209</v>
      </c>
      <c r="H47" s="5">
        <v>2077920</v>
      </c>
      <c r="I47" s="5">
        <v>46961</v>
      </c>
      <c r="J47" s="5">
        <v>80.399232560452859</v>
      </c>
      <c r="K47" s="2">
        <v>4212258</v>
      </c>
      <c r="L47" s="3">
        <v>2.26000038500038E-2</v>
      </c>
      <c r="M47" s="3">
        <v>5.4698075322620908E-2</v>
      </c>
      <c r="N47" s="7">
        <v>3.88</v>
      </c>
      <c r="O47" s="7">
        <v>7103.923530246977</v>
      </c>
      <c r="P47" s="4">
        <v>22.117727444857302</v>
      </c>
      <c r="Q47" s="8">
        <v>4030049</v>
      </c>
    </row>
    <row r="48" spans="1:17" x14ac:dyDescent="0.3">
      <c r="A48" t="s">
        <v>116</v>
      </c>
      <c r="B48" t="s">
        <v>113</v>
      </c>
      <c r="C48" t="s">
        <v>25</v>
      </c>
      <c r="D48" s="1">
        <v>45806</v>
      </c>
      <c r="E48" s="1">
        <v>45851</v>
      </c>
      <c r="F48" s="5">
        <v>45</v>
      </c>
      <c r="G48" s="2">
        <v>310813</v>
      </c>
      <c r="H48" s="5">
        <v>1363415</v>
      </c>
      <c r="I48" s="5">
        <v>49492</v>
      </c>
      <c r="J48" s="5">
        <v>5018</v>
      </c>
      <c r="K48" s="2">
        <v>18589816</v>
      </c>
      <c r="L48" s="3">
        <v>3.63000260375601E-2</v>
      </c>
      <c r="M48" s="3">
        <v>3.6600005717873562E-3</v>
      </c>
      <c r="N48" s="7">
        <v>6.2801</v>
      </c>
      <c r="O48" s="7">
        <v>61.939599999999999</v>
      </c>
      <c r="P48" s="4">
        <v>58.810291075341098</v>
      </c>
      <c r="Q48" s="8">
        <v>18279003</v>
      </c>
    </row>
    <row r="49" spans="1:17" x14ac:dyDescent="0.3">
      <c r="A49" t="s">
        <v>117</v>
      </c>
      <c r="B49" t="s">
        <v>118</v>
      </c>
      <c r="C49" t="s">
        <v>30</v>
      </c>
      <c r="D49" s="1">
        <v>45917</v>
      </c>
      <c r="E49" s="1">
        <v>45924</v>
      </c>
      <c r="F49" s="5">
        <v>7</v>
      </c>
      <c r="G49" s="2">
        <v>142820</v>
      </c>
      <c r="H49" s="5">
        <v>599210</v>
      </c>
      <c r="I49" s="5">
        <v>15939</v>
      </c>
      <c r="J49" s="5">
        <v>1195</v>
      </c>
      <c r="K49" s="2">
        <v>779817</v>
      </c>
      <c r="L49" s="3">
        <v>2.6600023364096101E-2</v>
      </c>
      <c r="M49" s="3">
        <v>7.4973335842901098E-2</v>
      </c>
      <c r="N49" s="7">
        <v>8.9603999999999999</v>
      </c>
      <c r="O49" s="7">
        <v>119.5146</v>
      </c>
      <c r="P49" s="4">
        <v>4.4601386360453699</v>
      </c>
      <c r="Q49" s="8">
        <v>636997</v>
      </c>
    </row>
    <row r="50" spans="1:17" x14ac:dyDescent="0.3">
      <c r="A50" t="s">
        <v>119</v>
      </c>
      <c r="B50" t="s">
        <v>120</v>
      </c>
      <c r="C50" t="s">
        <v>25</v>
      </c>
      <c r="D50" s="1">
        <v>45801</v>
      </c>
      <c r="E50" s="1">
        <v>45861</v>
      </c>
      <c r="F50" s="5">
        <v>60</v>
      </c>
      <c r="G50" s="2">
        <v>99075</v>
      </c>
      <c r="H50" s="5">
        <v>366120</v>
      </c>
      <c r="I50" s="5">
        <v>10288</v>
      </c>
      <c r="J50" s="5">
        <v>1150</v>
      </c>
      <c r="K50" s="2">
        <v>3576894</v>
      </c>
      <c r="L50" s="3">
        <v>2.8100076477657599E-2</v>
      </c>
      <c r="M50" s="3">
        <v>0.11178071539657899</v>
      </c>
      <c r="N50" s="7">
        <v>9.6302000000000003</v>
      </c>
      <c r="O50" s="7">
        <v>86.152199999999993</v>
      </c>
      <c r="P50" s="4">
        <v>35.102891748675198</v>
      </c>
      <c r="Q50" s="8">
        <v>3477819</v>
      </c>
    </row>
    <row r="51" spans="1:17" x14ac:dyDescent="0.3">
      <c r="A51" t="s">
        <v>121</v>
      </c>
      <c r="B51" t="s">
        <v>122</v>
      </c>
      <c r="C51" t="s">
        <v>22</v>
      </c>
      <c r="D51" s="1">
        <v>45871</v>
      </c>
      <c r="E51" s="1">
        <v>45881</v>
      </c>
      <c r="F51" s="5">
        <v>10</v>
      </c>
      <c r="G51" s="2">
        <v>27541</v>
      </c>
      <c r="H51" s="5">
        <v>442808</v>
      </c>
      <c r="I51" s="5">
        <v>12930</v>
      </c>
      <c r="J51" s="5">
        <v>687</v>
      </c>
      <c r="K51" s="2">
        <v>2763345</v>
      </c>
      <c r="L51" s="3">
        <v>2.92000144532167E-2</v>
      </c>
      <c r="M51" s="3">
        <v>5.3132250580046399E-2</v>
      </c>
      <c r="N51" s="7">
        <v>2.13</v>
      </c>
      <c r="O51" s="7">
        <v>40.088799999999999</v>
      </c>
      <c r="P51" s="4">
        <v>99.335681347808702</v>
      </c>
      <c r="Q51" s="8">
        <v>2735804</v>
      </c>
    </row>
    <row r="52" spans="1:17" x14ac:dyDescent="0.3">
      <c r="A52" t="s">
        <v>123</v>
      </c>
      <c r="B52" t="s">
        <v>124</v>
      </c>
      <c r="C52" t="s">
        <v>25</v>
      </c>
      <c r="D52" s="1">
        <v>45787</v>
      </c>
      <c r="E52" s="1">
        <v>45802</v>
      </c>
      <c r="F52" s="5">
        <v>15</v>
      </c>
      <c r="G52" s="2">
        <v>235151</v>
      </c>
      <c r="H52" s="5">
        <v>1543738</v>
      </c>
      <c r="I52" s="5">
        <v>52024</v>
      </c>
      <c r="J52" s="5">
        <v>5701</v>
      </c>
      <c r="K52" s="2">
        <v>6987431</v>
      </c>
      <c r="L52" s="3">
        <v>3.3700019044682401E-2</v>
      </c>
      <c r="M52" s="3">
        <v>0.109584038136245</v>
      </c>
      <c r="N52" s="7">
        <v>4.5199999999999996</v>
      </c>
      <c r="O52" s="7">
        <v>41.247300000000003</v>
      </c>
      <c r="P52" s="4">
        <v>28.714655689322999</v>
      </c>
      <c r="Q52" s="8">
        <v>6752280</v>
      </c>
    </row>
    <row r="53" spans="1:17" x14ac:dyDescent="0.3">
      <c r="A53" t="s">
        <v>125</v>
      </c>
      <c r="B53" t="s">
        <v>126</v>
      </c>
      <c r="C53" t="s">
        <v>30</v>
      </c>
      <c r="D53" s="1">
        <v>45996</v>
      </c>
      <c r="E53" s="1">
        <v>46001</v>
      </c>
      <c r="F53" s="5">
        <v>5</v>
      </c>
      <c r="G53" s="2">
        <v>99874</v>
      </c>
      <c r="H53" s="5">
        <v>752051</v>
      </c>
      <c r="I53" s="5">
        <v>14665</v>
      </c>
      <c r="J53" s="5">
        <v>1148</v>
      </c>
      <c r="K53" s="2">
        <v>3680083</v>
      </c>
      <c r="L53" s="3">
        <v>1.95000073133338E-2</v>
      </c>
      <c r="M53" s="3">
        <v>7.8281622911694507E-2</v>
      </c>
      <c r="N53" s="7">
        <v>6.8103999999999996</v>
      </c>
      <c r="O53" s="7">
        <v>86.9983</v>
      </c>
      <c r="P53" s="4">
        <v>35.8472575445061</v>
      </c>
      <c r="Q53" s="8">
        <v>3580209</v>
      </c>
    </row>
    <row r="54" spans="1:17" x14ac:dyDescent="0.3">
      <c r="A54" t="s">
        <v>127</v>
      </c>
      <c r="B54" t="s">
        <v>128</v>
      </c>
      <c r="C54" t="s">
        <v>39</v>
      </c>
      <c r="D54" s="1">
        <v>45941</v>
      </c>
      <c r="E54" s="1">
        <v>45971</v>
      </c>
      <c r="F54" s="5">
        <v>30</v>
      </c>
      <c r="G54" s="2">
        <v>725907</v>
      </c>
      <c r="H54" s="5">
        <v>25808571</v>
      </c>
      <c r="I54" s="5">
        <v>36132</v>
      </c>
      <c r="J54" s="5">
        <v>1036</v>
      </c>
      <c r="K54" s="2">
        <v>1716818</v>
      </c>
      <c r="L54" s="3">
        <v>1.4000000232480901E-3</v>
      </c>
      <c r="M54" s="3">
        <v>2.8672644747038602E-2</v>
      </c>
      <c r="N54" s="7">
        <v>20.090399999999999</v>
      </c>
      <c r="O54" s="7">
        <v>700.68240000000003</v>
      </c>
      <c r="P54" s="4">
        <v>1.36506604840565</v>
      </c>
      <c r="Q54" s="8">
        <v>990911</v>
      </c>
    </row>
    <row r="55" spans="1:17" x14ac:dyDescent="0.3">
      <c r="A55" t="s">
        <v>129</v>
      </c>
      <c r="B55" t="s">
        <v>130</v>
      </c>
      <c r="C55" t="s">
        <v>15</v>
      </c>
      <c r="D55" s="1">
        <v>45723</v>
      </c>
      <c r="E55" s="1">
        <v>45783</v>
      </c>
      <c r="F55" s="5">
        <v>60</v>
      </c>
      <c r="G55" s="2">
        <v>329057</v>
      </c>
      <c r="H55" s="5">
        <v>9956470</v>
      </c>
      <c r="I55" s="5">
        <v>16926</v>
      </c>
      <c r="J55" s="5">
        <v>186</v>
      </c>
      <c r="K55" s="2">
        <v>551287</v>
      </c>
      <c r="L55" s="3">
        <v>1.7000001004371999E-3</v>
      </c>
      <c r="M55" s="3">
        <v>1.0989010989011E-2</v>
      </c>
      <c r="N55" s="7">
        <v>19.440899999999999</v>
      </c>
      <c r="O55" s="7">
        <v>1769.1237000000001</v>
      </c>
      <c r="P55" s="4">
        <v>0.67535411797956002</v>
      </c>
      <c r="Q55" s="8">
        <v>222230</v>
      </c>
    </row>
    <row r="56" spans="1:17" x14ac:dyDescent="0.3">
      <c r="A56" t="s">
        <v>131</v>
      </c>
      <c r="B56" t="s">
        <v>132</v>
      </c>
      <c r="C56" t="s">
        <v>30</v>
      </c>
      <c r="D56" s="1">
        <v>45943</v>
      </c>
      <c r="E56" s="1">
        <v>45988</v>
      </c>
      <c r="F56" s="5">
        <v>45</v>
      </c>
      <c r="G56" s="2">
        <v>200341</v>
      </c>
      <c r="H56" s="5">
        <v>1865350</v>
      </c>
      <c r="I56" s="5">
        <v>37307</v>
      </c>
      <c r="J56" s="5">
        <v>1108</v>
      </c>
      <c r="K56" s="2">
        <v>2011114</v>
      </c>
      <c r="L56" s="3">
        <v>0.02</v>
      </c>
      <c r="M56" s="3">
        <v>2.9699520197282E-2</v>
      </c>
      <c r="N56" s="7">
        <v>5.3700999999999999</v>
      </c>
      <c r="O56" s="7">
        <v>180.81319999999999</v>
      </c>
      <c r="P56" s="4">
        <v>9.0384544351879992</v>
      </c>
      <c r="Q56" s="8">
        <v>1810773</v>
      </c>
    </row>
    <row r="57" spans="1:17" x14ac:dyDescent="0.3">
      <c r="A57" t="s">
        <v>133</v>
      </c>
      <c r="B57" t="s">
        <v>134</v>
      </c>
      <c r="C57" t="s">
        <v>15</v>
      </c>
      <c r="D57" s="1">
        <v>45876</v>
      </c>
      <c r="E57" s="1">
        <v>45921</v>
      </c>
      <c r="F57" s="5">
        <v>45</v>
      </c>
      <c r="G57" s="2">
        <v>296377</v>
      </c>
      <c r="H57" s="5">
        <v>10099999</v>
      </c>
      <c r="I57" s="5">
        <v>14140</v>
      </c>
      <c r="J57" s="5">
        <v>120</v>
      </c>
      <c r="K57" s="2">
        <v>90550</v>
      </c>
      <c r="L57" s="3">
        <v>1.4000001386138799E-3</v>
      </c>
      <c r="M57" s="3">
        <v>8.4865629420084899E-3</v>
      </c>
      <c r="N57" s="7">
        <v>20.9602</v>
      </c>
      <c r="O57" s="7">
        <v>2469.8083000000001</v>
      </c>
      <c r="P57" s="4">
        <v>-0.69447696683615801</v>
      </c>
      <c r="Q57" s="8">
        <v>-205827</v>
      </c>
    </row>
    <row r="58" spans="1:17" x14ac:dyDescent="0.3">
      <c r="A58" t="s">
        <v>135</v>
      </c>
      <c r="B58" t="s">
        <v>136</v>
      </c>
      <c r="C58" t="s">
        <v>30</v>
      </c>
      <c r="D58" s="1">
        <v>45869</v>
      </c>
      <c r="E58" s="1">
        <v>45874</v>
      </c>
      <c r="F58" s="5">
        <v>5</v>
      </c>
      <c r="G58" s="2">
        <v>125358</v>
      </c>
      <c r="H58" s="5">
        <v>745114</v>
      </c>
      <c r="I58" s="5">
        <v>22875</v>
      </c>
      <c r="J58" s="5">
        <v>974</v>
      </c>
      <c r="K58" s="2">
        <v>3178432</v>
      </c>
      <c r="L58" s="3">
        <v>3.0700000268415299E-2</v>
      </c>
      <c r="M58" s="3">
        <v>4.2579234972677599E-2</v>
      </c>
      <c r="N58" s="7">
        <v>5.4801000000000002</v>
      </c>
      <c r="O58" s="7">
        <v>128.70429999999999</v>
      </c>
      <c r="P58" s="4">
        <v>24.354839738987501</v>
      </c>
      <c r="Q58" s="8">
        <v>3053074</v>
      </c>
    </row>
    <row r="59" spans="1:17" x14ac:dyDescent="0.3">
      <c r="A59" t="s">
        <v>137</v>
      </c>
      <c r="B59" t="s">
        <v>138</v>
      </c>
      <c r="C59" t="s">
        <v>30</v>
      </c>
      <c r="D59" s="1">
        <v>45928</v>
      </c>
      <c r="E59" s="1">
        <v>45988</v>
      </c>
      <c r="F59" s="5">
        <v>60</v>
      </c>
      <c r="G59" s="2">
        <v>190052</v>
      </c>
      <c r="H59" s="5">
        <v>606271</v>
      </c>
      <c r="I59" s="5">
        <v>24554</v>
      </c>
      <c r="J59" s="5">
        <v>628</v>
      </c>
      <c r="K59" s="2">
        <v>1136230</v>
      </c>
      <c r="L59" s="3">
        <v>4.05000404109713E-2</v>
      </c>
      <c r="M59" s="3">
        <v>2.55762808503706E-2</v>
      </c>
      <c r="N59" s="7">
        <v>7.7401999999999997</v>
      </c>
      <c r="O59" s="7">
        <v>302.63060000000002</v>
      </c>
      <c r="P59" s="4">
        <v>4.97852166775409</v>
      </c>
      <c r="Q59" s="8">
        <v>946178</v>
      </c>
    </row>
    <row r="60" spans="1:17" x14ac:dyDescent="0.3">
      <c r="A60" t="s">
        <v>139</v>
      </c>
      <c r="B60" t="s">
        <v>140</v>
      </c>
      <c r="C60" t="s">
        <v>39</v>
      </c>
      <c r="D60" s="1">
        <v>45723</v>
      </c>
      <c r="E60" s="1">
        <v>45728</v>
      </c>
      <c r="F60" s="5">
        <v>5</v>
      </c>
      <c r="G60" s="2">
        <v>183809</v>
      </c>
      <c r="H60" s="5">
        <v>1493958</v>
      </c>
      <c r="I60" s="5">
        <v>7171</v>
      </c>
      <c r="J60" s="5">
        <v>187</v>
      </c>
      <c r="K60" s="2">
        <v>316175</v>
      </c>
      <c r="L60" s="3">
        <v>4.8000010709805798E-3</v>
      </c>
      <c r="M60" s="3">
        <v>2.6077255612885201E-2</v>
      </c>
      <c r="N60" s="7">
        <v>25.632300000000001</v>
      </c>
      <c r="O60" s="7">
        <v>982.93579999999997</v>
      </c>
      <c r="P60" s="4">
        <v>0.72012795891387305</v>
      </c>
      <c r="Q60" s="8">
        <v>132366</v>
      </c>
    </row>
    <row r="61" spans="1:17" x14ac:dyDescent="0.3">
      <c r="A61" t="s">
        <v>141</v>
      </c>
      <c r="B61" t="s">
        <v>142</v>
      </c>
      <c r="C61" t="s">
        <v>15</v>
      </c>
      <c r="D61" s="1">
        <v>45713</v>
      </c>
      <c r="E61" s="1">
        <v>45727</v>
      </c>
      <c r="F61" s="5">
        <v>14</v>
      </c>
      <c r="G61" s="2">
        <v>384671</v>
      </c>
      <c r="H61" s="5">
        <v>12776521</v>
      </c>
      <c r="I61" s="5">
        <v>29386</v>
      </c>
      <c r="J61" s="5">
        <v>546</v>
      </c>
      <c r="K61" s="2">
        <v>1522527</v>
      </c>
      <c r="L61" s="3">
        <v>2.3000001330565701E-3</v>
      </c>
      <c r="M61" s="3">
        <v>1.8580276322058099E-2</v>
      </c>
      <c r="N61" s="7">
        <v>13.090299999999999</v>
      </c>
      <c r="O61" s="7">
        <v>704.52560000000005</v>
      </c>
      <c r="P61" s="4">
        <v>2.9579978735074901</v>
      </c>
      <c r="Q61" s="8">
        <v>1137856</v>
      </c>
    </row>
    <row r="62" spans="1:17" x14ac:dyDescent="0.3">
      <c r="A62" t="s">
        <v>143</v>
      </c>
      <c r="B62" t="s">
        <v>144</v>
      </c>
      <c r="C62" t="s">
        <v>25</v>
      </c>
      <c r="D62" s="1">
        <v>45658</v>
      </c>
      <c r="E62" s="1">
        <v>45663</v>
      </c>
      <c r="F62" s="5">
        <v>5</v>
      </c>
      <c r="G62" s="2">
        <v>105877</v>
      </c>
      <c r="H62" s="5">
        <v>346111</v>
      </c>
      <c r="I62" s="5">
        <v>18067</v>
      </c>
      <c r="J62" s="5">
        <v>1654</v>
      </c>
      <c r="K62" s="2">
        <v>7953235</v>
      </c>
      <c r="L62" s="3">
        <v>5.2200016757629801E-2</v>
      </c>
      <c r="M62" s="3">
        <v>9.1548126418331793E-2</v>
      </c>
      <c r="N62" s="7">
        <v>5.8601999999999999</v>
      </c>
      <c r="O62" s="7">
        <v>64.012699999999995</v>
      </c>
      <c r="P62" s="4">
        <v>74.117683727344001</v>
      </c>
      <c r="Q62" s="8">
        <v>7847358</v>
      </c>
    </row>
    <row r="63" spans="1:17" x14ac:dyDescent="0.3">
      <c r="A63" t="s">
        <v>145</v>
      </c>
      <c r="B63" t="s">
        <v>146</v>
      </c>
      <c r="C63" t="s">
        <v>22</v>
      </c>
      <c r="D63" s="1">
        <v>45708</v>
      </c>
      <c r="E63" s="1">
        <v>45715</v>
      </c>
      <c r="F63" s="5">
        <v>7</v>
      </c>
      <c r="G63" s="2">
        <v>9610</v>
      </c>
      <c r="H63" s="5">
        <v>87189</v>
      </c>
      <c r="I63" s="5">
        <v>5057</v>
      </c>
      <c r="J63" s="5">
        <v>219</v>
      </c>
      <c r="K63" s="2">
        <v>425915</v>
      </c>
      <c r="L63" s="3">
        <v>5.8000435834795701E-2</v>
      </c>
      <c r="M63" s="3">
        <v>4.3306308087799103E-2</v>
      </c>
      <c r="N63" s="7">
        <v>1.9003000000000001</v>
      </c>
      <c r="O63" s="7">
        <v>43.881300000000003</v>
      </c>
      <c r="P63" s="4">
        <v>43.319979188345499</v>
      </c>
      <c r="Q63" s="8">
        <v>416305</v>
      </c>
    </row>
    <row r="64" spans="1:17" x14ac:dyDescent="0.3">
      <c r="A64" t="s">
        <v>147</v>
      </c>
      <c r="B64" t="s">
        <v>148</v>
      </c>
      <c r="C64" t="s">
        <v>22</v>
      </c>
      <c r="D64" s="1">
        <v>45800</v>
      </c>
      <c r="E64" s="1">
        <v>45845</v>
      </c>
      <c r="F64" s="5">
        <v>45</v>
      </c>
      <c r="G64" s="2">
        <v>25732</v>
      </c>
      <c r="H64" s="5">
        <v>157101</v>
      </c>
      <c r="I64" s="5">
        <v>8782</v>
      </c>
      <c r="J64" s="5">
        <v>555</v>
      </c>
      <c r="K64" s="2">
        <v>710919</v>
      </c>
      <c r="L64" s="3">
        <v>5.5900344364453403E-2</v>
      </c>
      <c r="M64" s="3">
        <v>6.3197449328171298E-2</v>
      </c>
      <c r="N64" s="7">
        <v>2.9300999999999999</v>
      </c>
      <c r="O64" s="7">
        <v>46.363999999999997</v>
      </c>
      <c r="P64" s="4">
        <v>26.627817503497599</v>
      </c>
      <c r="Q64" s="8">
        <v>685187</v>
      </c>
    </row>
    <row r="65" spans="1:17" x14ac:dyDescent="0.3">
      <c r="A65" t="s">
        <v>149</v>
      </c>
      <c r="B65" t="s">
        <v>150</v>
      </c>
      <c r="C65" t="s">
        <v>30</v>
      </c>
      <c r="D65" s="1">
        <v>45699</v>
      </c>
      <c r="E65" s="1">
        <v>45729</v>
      </c>
      <c r="F65" s="5">
        <v>30</v>
      </c>
      <c r="G65" s="2">
        <v>92438</v>
      </c>
      <c r="H65" s="5">
        <v>763610</v>
      </c>
      <c r="I65" s="5">
        <v>21152</v>
      </c>
      <c r="J65" s="5">
        <v>892</v>
      </c>
      <c r="K65" s="2">
        <v>1620784</v>
      </c>
      <c r="L65" s="3">
        <v>2.7700003928707102E-2</v>
      </c>
      <c r="M65" s="3">
        <v>4.2170953101361597E-2</v>
      </c>
      <c r="N65" s="7">
        <v>4.3701999999999996</v>
      </c>
      <c r="O65" s="7">
        <v>103.63</v>
      </c>
      <c r="P65" s="4">
        <v>16.5337415348666</v>
      </c>
      <c r="Q65" s="8">
        <v>1528346</v>
      </c>
    </row>
    <row r="66" spans="1:17" x14ac:dyDescent="0.3">
      <c r="A66" t="s">
        <v>151</v>
      </c>
      <c r="B66" t="s">
        <v>152</v>
      </c>
      <c r="C66" t="s">
        <v>25</v>
      </c>
      <c r="D66" s="1">
        <v>45661</v>
      </c>
      <c r="E66" s="1">
        <v>45675</v>
      </c>
      <c r="F66" s="5">
        <v>14</v>
      </c>
      <c r="G66" s="2">
        <v>193150</v>
      </c>
      <c r="H66" s="5">
        <v>516976</v>
      </c>
      <c r="I66" s="5">
        <v>19490</v>
      </c>
      <c r="J66" s="5">
        <v>1099</v>
      </c>
      <c r="K66" s="2">
        <v>2176664</v>
      </c>
      <c r="L66" s="3">
        <v>3.7700009284763698E-2</v>
      </c>
      <c r="M66" s="3">
        <v>5.6387891226269901E-2</v>
      </c>
      <c r="N66" s="7">
        <v>9.9101999999999997</v>
      </c>
      <c r="O66" s="7">
        <v>175.75069999999999</v>
      </c>
      <c r="P66" s="4">
        <v>10.2692932953663</v>
      </c>
      <c r="Q66" s="8">
        <v>1983514</v>
      </c>
    </row>
    <row r="67" spans="1:17" x14ac:dyDescent="0.3">
      <c r="A67" t="s">
        <v>153</v>
      </c>
      <c r="B67" t="s">
        <v>154</v>
      </c>
      <c r="C67" t="s">
        <v>30</v>
      </c>
      <c r="D67" s="1">
        <v>45713</v>
      </c>
      <c r="E67" s="1">
        <v>45728</v>
      </c>
      <c r="F67" s="5">
        <v>15</v>
      </c>
      <c r="G67" s="2">
        <v>188472</v>
      </c>
      <c r="H67" s="5">
        <v>1532475</v>
      </c>
      <c r="I67" s="5">
        <v>31569</v>
      </c>
      <c r="J67" s="5">
        <v>1054</v>
      </c>
      <c r="K67" s="2">
        <v>2605224</v>
      </c>
      <c r="L67" s="3">
        <v>2.0600009788087899E-2</v>
      </c>
      <c r="M67" s="3">
        <v>3.3387183629510001E-2</v>
      </c>
      <c r="N67" s="7">
        <v>5.9702000000000002</v>
      </c>
      <c r="O67" s="7">
        <v>178.8159</v>
      </c>
      <c r="P67" s="4">
        <v>12.822870240672399</v>
      </c>
      <c r="Q67" s="8">
        <v>2416752</v>
      </c>
    </row>
    <row r="68" spans="1:17" x14ac:dyDescent="0.3">
      <c r="A68" t="s">
        <v>155</v>
      </c>
      <c r="B68" t="s">
        <v>156</v>
      </c>
      <c r="C68" t="s">
        <v>30</v>
      </c>
      <c r="D68" s="1">
        <v>45870</v>
      </c>
      <c r="E68" s="1">
        <v>45880</v>
      </c>
      <c r="F68" s="5">
        <v>10</v>
      </c>
      <c r="G68" s="2">
        <v>38589</v>
      </c>
      <c r="H68" s="5">
        <v>259268</v>
      </c>
      <c r="I68" s="5">
        <v>5315</v>
      </c>
      <c r="J68" s="5">
        <v>249</v>
      </c>
      <c r="K68" s="2">
        <v>1672320</v>
      </c>
      <c r="L68" s="3">
        <v>2.0500023142076901E-2</v>
      </c>
      <c r="M68" s="3">
        <v>4.6848541862652901E-2</v>
      </c>
      <c r="N68" s="7">
        <v>7.2603999999999997</v>
      </c>
      <c r="O68" s="7">
        <v>154.9759</v>
      </c>
      <c r="P68" s="4">
        <v>42.3367021690119</v>
      </c>
      <c r="Q68" s="8">
        <v>1633731</v>
      </c>
    </row>
    <row r="69" spans="1:17" x14ac:dyDescent="0.3">
      <c r="A69" t="s">
        <v>157</v>
      </c>
      <c r="B69" t="s">
        <v>158</v>
      </c>
      <c r="C69" t="s">
        <v>22</v>
      </c>
      <c r="D69" s="1">
        <v>45992</v>
      </c>
      <c r="E69" s="1">
        <v>46002</v>
      </c>
      <c r="F69" s="5">
        <v>10</v>
      </c>
      <c r="G69" s="2">
        <v>39393</v>
      </c>
      <c r="H69" s="5">
        <v>465823</v>
      </c>
      <c r="I69" s="5">
        <v>12158</v>
      </c>
      <c r="J69" s="5">
        <v>930</v>
      </c>
      <c r="K69" s="2">
        <v>4523487</v>
      </c>
      <c r="L69" s="3">
        <v>2.6100042290741299E-2</v>
      </c>
      <c r="M69" s="3">
        <v>7.6492844217799005E-2</v>
      </c>
      <c r="N69" s="7">
        <v>3.2401</v>
      </c>
      <c r="O69" s="7">
        <v>42.3581</v>
      </c>
      <c r="P69" s="4">
        <v>113.82971593937999</v>
      </c>
      <c r="Q69" s="8">
        <v>4484094</v>
      </c>
    </row>
    <row r="70" spans="1:17" x14ac:dyDescent="0.3">
      <c r="A70" t="s">
        <v>159</v>
      </c>
      <c r="B70" t="s">
        <v>160</v>
      </c>
      <c r="C70" t="s">
        <v>30</v>
      </c>
      <c r="D70" s="1">
        <v>45699</v>
      </c>
      <c r="E70" s="1">
        <v>45714</v>
      </c>
      <c r="F70" s="5">
        <v>15</v>
      </c>
      <c r="G70" s="2">
        <v>117134</v>
      </c>
      <c r="H70" s="5">
        <v>510072</v>
      </c>
      <c r="I70" s="5">
        <v>21219</v>
      </c>
      <c r="J70" s="5">
        <v>1139</v>
      </c>
      <c r="K70" s="2">
        <v>1806992</v>
      </c>
      <c r="L70" s="3">
        <v>4.1600009410436199E-2</v>
      </c>
      <c r="M70" s="3">
        <v>5.3678307177529597E-2</v>
      </c>
      <c r="N70" s="7">
        <v>5.5202</v>
      </c>
      <c r="O70" s="7">
        <v>102.83929999999999</v>
      </c>
      <c r="P70" s="4">
        <v>14.426707873034299</v>
      </c>
      <c r="Q70" s="8">
        <v>1689858</v>
      </c>
    </row>
    <row r="71" spans="1:17" x14ac:dyDescent="0.3">
      <c r="A71" t="s">
        <v>161</v>
      </c>
      <c r="B71" t="s">
        <v>162</v>
      </c>
      <c r="C71" t="s">
        <v>30</v>
      </c>
      <c r="D71" s="1">
        <v>45758</v>
      </c>
      <c r="E71" s="1">
        <v>45803</v>
      </c>
      <c r="F71" s="5">
        <v>45</v>
      </c>
      <c r="G71" s="2">
        <v>122704</v>
      </c>
      <c r="H71" s="5">
        <v>691267</v>
      </c>
      <c r="I71" s="5">
        <v>19632</v>
      </c>
      <c r="J71" s="5">
        <v>773</v>
      </c>
      <c r="K71" s="2">
        <v>2621923</v>
      </c>
      <c r="L71" s="3">
        <v>2.84000248818474E-2</v>
      </c>
      <c r="M71" s="3">
        <v>3.9374490627546901E-2</v>
      </c>
      <c r="N71" s="7">
        <v>6.2502000000000004</v>
      </c>
      <c r="O71" s="7">
        <v>158.73740000000001</v>
      </c>
      <c r="P71" s="4">
        <v>20.3678690181249</v>
      </c>
      <c r="Q71" s="8">
        <v>2499219</v>
      </c>
    </row>
    <row r="72" spans="1:17" x14ac:dyDescent="0.3">
      <c r="A72" t="s">
        <v>163</v>
      </c>
      <c r="B72" t="s">
        <v>164</v>
      </c>
      <c r="C72" t="s">
        <v>30</v>
      </c>
      <c r="D72" s="1">
        <v>45689</v>
      </c>
      <c r="E72" s="1">
        <v>45696</v>
      </c>
      <c r="F72" s="5">
        <v>7</v>
      </c>
      <c r="G72" s="2">
        <v>92375</v>
      </c>
      <c r="H72" s="5">
        <v>1310769</v>
      </c>
      <c r="I72" s="5">
        <v>22152</v>
      </c>
      <c r="J72" s="5">
        <v>1247</v>
      </c>
      <c r="K72" s="2">
        <v>2606950</v>
      </c>
      <c r="L72" s="3">
        <v>1.6900002975352602E-2</v>
      </c>
      <c r="M72" s="3">
        <v>5.62928855182376E-2</v>
      </c>
      <c r="N72" s="7">
        <v>4.1700999999999997</v>
      </c>
      <c r="O72" s="7">
        <v>74.077799999999996</v>
      </c>
      <c r="P72" s="4">
        <v>27.221380243572401</v>
      </c>
      <c r="Q72" s="8">
        <v>2514575</v>
      </c>
    </row>
    <row r="73" spans="1:17" x14ac:dyDescent="0.3">
      <c r="A73" t="s">
        <v>165</v>
      </c>
      <c r="B73" t="s">
        <v>166</v>
      </c>
      <c r="C73" t="s">
        <v>30</v>
      </c>
      <c r="D73" s="1">
        <v>45799</v>
      </c>
      <c r="E73" s="1">
        <v>45820</v>
      </c>
      <c r="F73" s="5">
        <v>21</v>
      </c>
      <c r="G73" s="2">
        <v>102963</v>
      </c>
      <c r="H73" s="5">
        <v>904323</v>
      </c>
      <c r="I73" s="5">
        <v>34093</v>
      </c>
      <c r="J73" s="5">
        <v>2556</v>
      </c>
      <c r="K73" s="2">
        <v>10903456</v>
      </c>
      <c r="L73" s="3">
        <v>3.7700025322810603E-2</v>
      </c>
      <c r="M73" s="3">
        <v>7.4971401754025793E-2</v>
      </c>
      <c r="N73" s="7">
        <v>3.0200999999999998</v>
      </c>
      <c r="O73" s="7">
        <v>40.282899999999998</v>
      </c>
      <c r="P73" s="4">
        <v>104.89683672775701</v>
      </c>
      <c r="Q73" s="8">
        <v>10800493</v>
      </c>
    </row>
    <row r="74" spans="1:17" x14ac:dyDescent="0.3">
      <c r="A74" t="s">
        <v>167</v>
      </c>
      <c r="B74" t="s">
        <v>168</v>
      </c>
      <c r="C74" t="s">
        <v>25</v>
      </c>
      <c r="D74" s="1">
        <v>45855</v>
      </c>
      <c r="E74" s="1">
        <v>45900</v>
      </c>
      <c r="F74" s="5">
        <v>45</v>
      </c>
      <c r="G74" s="2">
        <v>171620</v>
      </c>
      <c r="H74" s="5">
        <v>312865</v>
      </c>
      <c r="I74" s="5">
        <v>15174</v>
      </c>
      <c r="J74" s="5">
        <v>767</v>
      </c>
      <c r="K74" s="2">
        <v>2548880</v>
      </c>
      <c r="L74" s="3">
        <v>4.8500151822671103E-2</v>
      </c>
      <c r="M74" s="3">
        <v>5.0546988269408198E-2</v>
      </c>
      <c r="N74" s="7">
        <v>11.3101</v>
      </c>
      <c r="O74" s="7">
        <v>223.75489999999999</v>
      </c>
      <c r="P74" s="4">
        <v>13.8518820650274</v>
      </c>
      <c r="Q74" s="8">
        <v>2377260</v>
      </c>
    </row>
    <row r="75" spans="1:17" x14ac:dyDescent="0.3">
      <c r="A75" t="s">
        <v>169</v>
      </c>
      <c r="B75" t="s">
        <v>170</v>
      </c>
      <c r="C75" t="s">
        <v>25</v>
      </c>
      <c r="D75" s="1">
        <v>45821</v>
      </c>
      <c r="E75" s="1">
        <v>45842</v>
      </c>
      <c r="F75" s="5">
        <v>21</v>
      </c>
      <c r="G75" s="2">
        <v>281582</v>
      </c>
      <c r="H75" s="5">
        <v>862194</v>
      </c>
      <c r="I75" s="5">
        <v>40868</v>
      </c>
      <c r="J75" s="5">
        <v>1892</v>
      </c>
      <c r="K75" s="2">
        <v>1970687</v>
      </c>
      <c r="L75" s="3">
        <v>4.7400005103259799E-2</v>
      </c>
      <c r="M75" s="3">
        <v>4.6295390036214197E-2</v>
      </c>
      <c r="N75" s="7">
        <v>6.89</v>
      </c>
      <c r="O75" s="7">
        <v>148.82769999999999</v>
      </c>
      <c r="P75" s="4">
        <v>5.99862562237643</v>
      </c>
      <c r="Q75" s="8">
        <v>1689105</v>
      </c>
    </row>
    <row r="76" spans="1:17" x14ac:dyDescent="0.3">
      <c r="A76" t="s">
        <v>171</v>
      </c>
      <c r="B76" t="s">
        <v>172</v>
      </c>
      <c r="C76" t="s">
        <v>25</v>
      </c>
      <c r="D76" s="1">
        <v>45740</v>
      </c>
      <c r="E76" s="1">
        <v>45761</v>
      </c>
      <c r="F76" s="5">
        <v>21</v>
      </c>
      <c r="G76" s="2">
        <v>263637</v>
      </c>
      <c r="H76" s="5">
        <v>436172</v>
      </c>
      <c r="I76" s="5">
        <v>23815</v>
      </c>
      <c r="J76" s="6">
        <v>87.16291361711589</v>
      </c>
      <c r="K76" s="2">
        <v>1535694</v>
      </c>
      <c r="L76" s="3">
        <v>5.4600020175527099E-2</v>
      </c>
      <c r="M76" s="9">
        <v>3.6600005717873562E-3</v>
      </c>
      <c r="N76" s="7">
        <v>11.0702</v>
      </c>
      <c r="O76" s="10">
        <v>3024.6464816227813</v>
      </c>
      <c r="P76" s="4">
        <v>4.8250321464741299</v>
      </c>
      <c r="Q76" s="8">
        <v>1272057</v>
      </c>
    </row>
    <row r="77" spans="1:17" x14ac:dyDescent="0.3">
      <c r="A77" t="s">
        <v>173</v>
      </c>
      <c r="B77" t="s">
        <v>174</v>
      </c>
      <c r="C77" t="s">
        <v>30</v>
      </c>
      <c r="D77" s="1">
        <v>45778</v>
      </c>
      <c r="E77" s="1">
        <v>45823</v>
      </c>
      <c r="F77" s="5">
        <v>45</v>
      </c>
      <c r="G77" s="2">
        <v>221077</v>
      </c>
      <c r="H77" s="5">
        <v>928926</v>
      </c>
      <c r="I77" s="5">
        <v>35485</v>
      </c>
      <c r="J77" s="5">
        <v>2327</v>
      </c>
      <c r="K77" s="2">
        <v>4254917</v>
      </c>
      <c r="L77" s="3">
        <v>3.8200028850521997E-2</v>
      </c>
      <c r="M77" s="3">
        <v>6.5577004368042799E-2</v>
      </c>
      <c r="N77" s="7">
        <v>6.2302</v>
      </c>
      <c r="O77" s="7">
        <v>95.005200000000002</v>
      </c>
      <c r="P77" s="4">
        <v>18.246312370802901</v>
      </c>
      <c r="Q77" s="8">
        <v>4033840</v>
      </c>
    </row>
    <row r="78" spans="1:17" x14ac:dyDescent="0.3">
      <c r="A78" t="s">
        <v>175</v>
      </c>
      <c r="B78" t="s">
        <v>176</v>
      </c>
      <c r="C78" t="s">
        <v>25</v>
      </c>
      <c r="D78" s="1">
        <v>45882</v>
      </c>
      <c r="E78" s="1">
        <v>45896</v>
      </c>
      <c r="F78" s="5">
        <v>14</v>
      </c>
      <c r="G78" s="2">
        <v>169724</v>
      </c>
      <c r="H78" s="5">
        <v>1096276</v>
      </c>
      <c r="I78" s="5">
        <v>30915</v>
      </c>
      <c r="J78" s="5">
        <v>1932</v>
      </c>
      <c r="K78" s="2">
        <v>3041979</v>
      </c>
      <c r="L78" s="3">
        <v>2.8200015324607999E-2</v>
      </c>
      <c r="M78" s="3">
        <v>6.2493934983018001E-2</v>
      </c>
      <c r="N78" s="7">
        <v>5.49</v>
      </c>
      <c r="O78" s="7">
        <v>87.8489</v>
      </c>
      <c r="P78" s="4">
        <v>16.923092785934799</v>
      </c>
      <c r="Q78" s="8">
        <v>2872255</v>
      </c>
    </row>
    <row r="79" spans="1:17" x14ac:dyDescent="0.3">
      <c r="A79" t="s">
        <v>177</v>
      </c>
      <c r="B79" t="s">
        <v>178</v>
      </c>
      <c r="C79" t="s">
        <v>25</v>
      </c>
      <c r="D79" s="1">
        <v>45992</v>
      </c>
      <c r="E79" s="1">
        <v>45999</v>
      </c>
      <c r="F79" s="5">
        <v>7</v>
      </c>
      <c r="G79" s="2">
        <v>283225</v>
      </c>
      <c r="H79" s="5">
        <v>1005932</v>
      </c>
      <c r="I79" s="5">
        <v>23740</v>
      </c>
      <c r="J79" s="5">
        <v>1851</v>
      </c>
      <c r="K79" s="2">
        <v>6679847</v>
      </c>
      <c r="L79" s="3">
        <v>2.36000047716943E-2</v>
      </c>
      <c r="M79" s="3">
        <v>7.7969671440606597E-2</v>
      </c>
      <c r="N79" s="7">
        <v>11.930300000000001</v>
      </c>
      <c r="O79" s="7">
        <v>153.0119</v>
      </c>
      <c r="P79" s="4">
        <v>22.5849483626092</v>
      </c>
      <c r="Q79" s="8">
        <v>6396622</v>
      </c>
    </row>
    <row r="80" spans="1:17" x14ac:dyDescent="0.3">
      <c r="A80" t="s">
        <v>179</v>
      </c>
      <c r="B80" t="s">
        <v>180</v>
      </c>
      <c r="C80" t="s">
        <v>30</v>
      </c>
      <c r="D80" s="1">
        <v>45755</v>
      </c>
      <c r="E80" s="1">
        <v>45760</v>
      </c>
      <c r="F80" s="5">
        <v>5</v>
      </c>
      <c r="G80" s="2">
        <v>182415</v>
      </c>
      <c r="H80" s="5">
        <v>634923</v>
      </c>
      <c r="I80" s="5">
        <v>20635</v>
      </c>
      <c r="J80" s="5">
        <v>1564</v>
      </c>
      <c r="K80" s="2">
        <v>2525697</v>
      </c>
      <c r="L80" s="3">
        <v>3.2500003937485297E-2</v>
      </c>
      <c r="M80" s="3">
        <v>7.5793554640174399E-2</v>
      </c>
      <c r="N80" s="7">
        <v>8.8400999999999996</v>
      </c>
      <c r="O80" s="7">
        <v>116.6336</v>
      </c>
      <c r="P80" s="4">
        <v>12.845884384507899</v>
      </c>
      <c r="Q80" s="8">
        <v>2343282</v>
      </c>
    </row>
    <row r="81" spans="1:17" x14ac:dyDescent="0.3">
      <c r="A81" t="s">
        <v>181</v>
      </c>
      <c r="B81" t="s">
        <v>182</v>
      </c>
      <c r="C81" t="s">
        <v>25</v>
      </c>
      <c r="D81" s="1">
        <v>45769</v>
      </c>
      <c r="E81" s="1">
        <v>45790</v>
      </c>
      <c r="F81" s="5">
        <v>21</v>
      </c>
      <c r="G81" s="2">
        <v>59636</v>
      </c>
      <c r="H81" s="5">
        <v>344578</v>
      </c>
      <c r="I81" s="5">
        <v>8580</v>
      </c>
      <c r="J81" s="5">
        <v>483</v>
      </c>
      <c r="K81" s="2">
        <v>750787</v>
      </c>
      <c r="L81" s="3">
        <v>2.49000226363842E-2</v>
      </c>
      <c r="M81" s="3">
        <v>5.6293706293706301E-2</v>
      </c>
      <c r="N81" s="7">
        <v>6.9505999999999997</v>
      </c>
      <c r="O81" s="7">
        <v>123.47</v>
      </c>
      <c r="P81" s="4">
        <v>11.5894929237373</v>
      </c>
      <c r="Q81" s="8">
        <v>691151</v>
      </c>
    </row>
    <row r="82" spans="1:17" x14ac:dyDescent="0.3">
      <c r="A82" t="s">
        <v>183</v>
      </c>
      <c r="B82" t="s">
        <v>184</v>
      </c>
      <c r="C82" t="s">
        <v>39</v>
      </c>
      <c r="D82" s="1">
        <v>45848</v>
      </c>
      <c r="E82" s="1">
        <v>45878</v>
      </c>
      <c r="F82" s="5">
        <v>30</v>
      </c>
      <c r="G82" s="2">
        <v>344138</v>
      </c>
      <c r="H82" s="5">
        <v>8051428</v>
      </c>
      <c r="I82" s="5">
        <v>11272</v>
      </c>
      <c r="J82" s="5">
        <v>119</v>
      </c>
      <c r="K82" s="2">
        <v>90234</v>
      </c>
      <c r="L82" s="3">
        <v>1.4000000993612601E-3</v>
      </c>
      <c r="M82" s="3">
        <v>1.05571327182399E-2</v>
      </c>
      <c r="N82" s="7">
        <v>30.5303</v>
      </c>
      <c r="O82" s="7">
        <v>2891.9160000000002</v>
      </c>
      <c r="P82" s="4">
        <v>-0.73779704653365796</v>
      </c>
      <c r="Q82" s="8">
        <v>-253904</v>
      </c>
    </row>
    <row r="83" spans="1:17" x14ac:dyDescent="0.3">
      <c r="A83" t="s">
        <v>185</v>
      </c>
      <c r="B83" t="s">
        <v>186</v>
      </c>
      <c r="C83" t="s">
        <v>25</v>
      </c>
      <c r="D83" s="1">
        <v>45704</v>
      </c>
      <c r="E83" s="1">
        <v>45764</v>
      </c>
      <c r="F83" s="5">
        <v>60</v>
      </c>
      <c r="G83" s="2">
        <v>125820</v>
      </c>
      <c r="H83" s="5">
        <v>594000</v>
      </c>
      <c r="I83" s="5">
        <v>17523</v>
      </c>
      <c r="J83" s="5">
        <v>2086</v>
      </c>
      <c r="K83" s="2">
        <v>10562722</v>
      </c>
      <c r="L83" s="3">
        <v>2.9499999999999998E-2</v>
      </c>
      <c r="M83" s="3">
        <v>0.119043542772356</v>
      </c>
      <c r="N83" s="7">
        <v>7.1802999999999999</v>
      </c>
      <c r="O83" s="7">
        <v>60.316400000000002</v>
      </c>
      <c r="P83" s="4">
        <v>82.951057065649394</v>
      </c>
      <c r="Q83" s="8">
        <v>10436902</v>
      </c>
    </row>
    <row r="84" spans="1:17" x14ac:dyDescent="0.3">
      <c r="A84" t="s">
        <v>187</v>
      </c>
      <c r="B84" t="s">
        <v>188</v>
      </c>
      <c r="C84" t="s">
        <v>22</v>
      </c>
      <c r="D84" s="1">
        <v>45844</v>
      </c>
      <c r="E84" s="1">
        <v>45849</v>
      </c>
      <c r="F84" s="5">
        <v>5</v>
      </c>
      <c r="G84" s="2">
        <v>47236</v>
      </c>
      <c r="H84" s="5">
        <v>588277</v>
      </c>
      <c r="I84" s="5">
        <v>29708</v>
      </c>
      <c r="J84" s="5">
        <v>1316</v>
      </c>
      <c r="K84" s="2">
        <v>337917</v>
      </c>
      <c r="L84" s="3">
        <v>5.0500019548614002E-2</v>
      </c>
      <c r="M84" s="3">
        <v>4.4297832233741799E-2</v>
      </c>
      <c r="N84" s="7">
        <v>1.59</v>
      </c>
      <c r="O84" s="7">
        <v>35.893599999999999</v>
      </c>
      <c r="P84" s="4">
        <v>6.1538021847743201</v>
      </c>
      <c r="Q84" s="8">
        <v>290681</v>
      </c>
    </row>
    <row r="85" spans="1:17" x14ac:dyDescent="0.3">
      <c r="A85" t="s">
        <v>189</v>
      </c>
      <c r="B85" t="s">
        <v>190</v>
      </c>
      <c r="C85" t="s">
        <v>25</v>
      </c>
      <c r="D85" s="1">
        <v>45893</v>
      </c>
      <c r="E85" s="1">
        <v>45914</v>
      </c>
      <c r="F85" s="5">
        <v>21</v>
      </c>
      <c r="G85" s="2">
        <v>125220</v>
      </c>
      <c r="H85" s="5">
        <v>1139678</v>
      </c>
      <c r="I85" s="5">
        <v>24845</v>
      </c>
      <c r="J85" s="5">
        <v>1277</v>
      </c>
      <c r="K85" s="2">
        <v>3044876</v>
      </c>
      <c r="L85" s="3">
        <v>2.18000171978401E-2</v>
      </c>
      <c r="M85" s="3">
        <v>5.1398671764942602E-2</v>
      </c>
      <c r="N85" s="7">
        <v>5.04</v>
      </c>
      <c r="O85" s="7">
        <v>98.057900000000004</v>
      </c>
      <c r="P85" s="4">
        <v>23.316211467816601</v>
      </c>
      <c r="Q85" s="8">
        <v>2919656</v>
      </c>
    </row>
    <row r="86" spans="1:17" x14ac:dyDescent="0.3">
      <c r="A86" t="s">
        <v>191</v>
      </c>
      <c r="B86" t="s">
        <v>192</v>
      </c>
      <c r="C86" t="s">
        <v>25</v>
      </c>
      <c r="D86" s="1">
        <v>45836</v>
      </c>
      <c r="E86" s="1">
        <v>45846</v>
      </c>
      <c r="F86" s="5">
        <v>10</v>
      </c>
      <c r="G86" s="2">
        <v>188528</v>
      </c>
      <c r="H86" s="5">
        <v>1370692</v>
      </c>
      <c r="I86" s="5">
        <v>35638</v>
      </c>
      <c r="J86" s="5">
        <v>1617</v>
      </c>
      <c r="K86" s="2">
        <v>6313720</v>
      </c>
      <c r="L86" s="3">
        <v>2.6000005836467999E-2</v>
      </c>
      <c r="M86" s="3">
        <v>4.53729165497503E-2</v>
      </c>
      <c r="N86" s="7">
        <v>5.2900999999999998</v>
      </c>
      <c r="O86" s="7">
        <v>116.5912</v>
      </c>
      <c r="P86" s="4">
        <v>32.489561232283798</v>
      </c>
      <c r="Q86" s="8">
        <v>6125192</v>
      </c>
    </row>
    <row r="87" spans="1:17" x14ac:dyDescent="0.3">
      <c r="A87" t="s">
        <v>193</v>
      </c>
      <c r="B87" t="s">
        <v>194</v>
      </c>
      <c r="C87" t="s">
        <v>30</v>
      </c>
      <c r="D87" s="1">
        <v>45905</v>
      </c>
      <c r="E87" s="1">
        <v>45910</v>
      </c>
      <c r="F87" s="5">
        <v>5</v>
      </c>
      <c r="G87" s="2">
        <v>107451</v>
      </c>
      <c r="H87" s="5">
        <v>756168</v>
      </c>
      <c r="I87" s="5">
        <v>32364</v>
      </c>
      <c r="J87" s="5">
        <v>1401</v>
      </c>
      <c r="K87" s="2">
        <v>7577191</v>
      </c>
      <c r="L87" s="3">
        <v>4.2800012695591499E-2</v>
      </c>
      <c r="M87" s="3">
        <v>4.3288839451242102E-2</v>
      </c>
      <c r="N87" s="7">
        <v>3.3201000000000001</v>
      </c>
      <c r="O87" s="7">
        <v>76.695899999999995</v>
      </c>
      <c r="P87" s="4">
        <v>69.517640598970701</v>
      </c>
      <c r="Q87" s="8">
        <v>7469740</v>
      </c>
    </row>
    <row r="88" spans="1:17" x14ac:dyDescent="0.3">
      <c r="A88" t="s">
        <v>195</v>
      </c>
      <c r="B88" t="s">
        <v>196</v>
      </c>
      <c r="C88" t="s">
        <v>39</v>
      </c>
      <c r="D88" s="1">
        <v>45975</v>
      </c>
      <c r="E88" s="1">
        <v>45989</v>
      </c>
      <c r="F88" s="5">
        <v>14</v>
      </c>
      <c r="G88" s="2">
        <v>574132</v>
      </c>
      <c r="H88" s="5">
        <v>9452000</v>
      </c>
      <c r="I88" s="5">
        <v>18904</v>
      </c>
      <c r="J88" s="5">
        <v>368</v>
      </c>
      <c r="K88" s="2">
        <v>539475</v>
      </c>
      <c r="L88" s="3">
        <v>2E-3</v>
      </c>
      <c r="M88" s="3">
        <v>1.9466779517562399E-2</v>
      </c>
      <c r="N88" s="7">
        <v>30.370899999999999</v>
      </c>
      <c r="O88" s="7">
        <v>1560.1413</v>
      </c>
      <c r="P88" s="4">
        <v>-6.0364167125330097E-2</v>
      </c>
      <c r="Q88" s="8">
        <v>-34657</v>
      </c>
    </row>
    <row r="89" spans="1:17" x14ac:dyDescent="0.3">
      <c r="A89" t="s">
        <v>197</v>
      </c>
      <c r="B89" t="s">
        <v>198</v>
      </c>
      <c r="C89" t="s">
        <v>22</v>
      </c>
      <c r="D89" s="1">
        <v>45734</v>
      </c>
      <c r="E89" s="1">
        <v>45741</v>
      </c>
      <c r="F89" s="5">
        <v>7</v>
      </c>
      <c r="G89" s="2">
        <v>21191</v>
      </c>
      <c r="H89" s="5">
        <v>101289</v>
      </c>
      <c r="I89" s="5">
        <v>5419</v>
      </c>
      <c r="J89" s="5">
        <v>235</v>
      </c>
      <c r="K89" s="2">
        <v>1588470</v>
      </c>
      <c r="L89" s="3">
        <v>5.3500380100504501E-2</v>
      </c>
      <c r="M89" s="3">
        <v>4.3365934674294199E-2</v>
      </c>
      <c r="N89" s="7">
        <v>3.9104999999999999</v>
      </c>
      <c r="O89" s="7">
        <v>90.174499999999995</v>
      </c>
      <c r="P89" s="4">
        <v>73.9596526827427</v>
      </c>
      <c r="Q89" s="8">
        <v>1567279</v>
      </c>
    </row>
    <row r="90" spans="1:17" x14ac:dyDescent="0.3">
      <c r="A90" t="s">
        <v>199</v>
      </c>
      <c r="B90" t="s">
        <v>200</v>
      </c>
      <c r="C90" t="s">
        <v>22</v>
      </c>
      <c r="D90" s="1">
        <v>45939</v>
      </c>
      <c r="E90" s="1">
        <v>45984</v>
      </c>
      <c r="F90" s="5">
        <v>45</v>
      </c>
      <c r="G90" s="2">
        <v>46093</v>
      </c>
      <c r="H90" s="5">
        <v>290167</v>
      </c>
      <c r="I90" s="5">
        <v>13841</v>
      </c>
      <c r="J90" s="5">
        <v>714</v>
      </c>
      <c r="K90" s="2">
        <v>1732625</v>
      </c>
      <c r="L90" s="3">
        <v>4.7700117518532398E-2</v>
      </c>
      <c r="M90" s="3">
        <v>5.1585868073116103E-2</v>
      </c>
      <c r="N90" s="7">
        <v>3.3302</v>
      </c>
      <c r="O90" s="7">
        <v>64.555999999999997</v>
      </c>
      <c r="P90" s="4">
        <v>36.589764172434002</v>
      </c>
      <c r="Q90" s="8">
        <v>1686532</v>
      </c>
    </row>
    <row r="91" spans="1:17" x14ac:dyDescent="0.3">
      <c r="A91" t="s">
        <v>201</v>
      </c>
      <c r="B91" t="s">
        <v>202</v>
      </c>
      <c r="C91" t="s">
        <v>22</v>
      </c>
      <c r="D91" s="1">
        <v>45659</v>
      </c>
      <c r="E91" s="1">
        <v>45664</v>
      </c>
      <c r="F91" s="5">
        <v>5</v>
      </c>
      <c r="G91" s="2">
        <v>45559</v>
      </c>
      <c r="H91" s="5">
        <v>278547</v>
      </c>
      <c r="I91" s="5">
        <v>11504</v>
      </c>
      <c r="J91" s="5">
        <v>705</v>
      </c>
      <c r="K91" s="2">
        <v>4925317</v>
      </c>
      <c r="L91" s="3">
        <v>4.1300031951519801E-2</v>
      </c>
      <c r="M91" s="3">
        <v>6.1283031988873402E-2</v>
      </c>
      <c r="N91" s="7">
        <v>3.9603000000000002</v>
      </c>
      <c r="O91" s="7">
        <v>64.622699999999995</v>
      </c>
      <c r="P91" s="4">
        <v>107.108540573762</v>
      </c>
      <c r="Q91" s="8">
        <v>4879758</v>
      </c>
    </row>
    <row r="92" spans="1:17" x14ac:dyDescent="0.3">
      <c r="A92" t="s">
        <v>203</v>
      </c>
      <c r="B92" t="s">
        <v>204</v>
      </c>
      <c r="C92" t="s">
        <v>22</v>
      </c>
      <c r="D92" s="1">
        <v>45723</v>
      </c>
      <c r="E92" s="1">
        <v>45730</v>
      </c>
      <c r="F92" s="5">
        <v>7</v>
      </c>
      <c r="G92" s="2">
        <v>28499</v>
      </c>
      <c r="H92" s="5">
        <v>441276</v>
      </c>
      <c r="I92" s="5">
        <v>12444</v>
      </c>
      <c r="J92" s="5">
        <v>757</v>
      </c>
      <c r="K92" s="2">
        <v>1451741</v>
      </c>
      <c r="L92" s="3">
        <v>2.8200038071411099E-2</v>
      </c>
      <c r="M92" s="3">
        <v>6.0832529733204799E-2</v>
      </c>
      <c r="N92" s="7">
        <v>2.2902</v>
      </c>
      <c r="O92" s="7">
        <v>37.647300000000001</v>
      </c>
      <c r="P92" s="4">
        <v>49.940068072563903</v>
      </c>
      <c r="Q92" s="8">
        <v>1423242</v>
      </c>
    </row>
    <row r="93" spans="1:17" x14ac:dyDescent="0.3">
      <c r="A93" t="s">
        <v>205</v>
      </c>
      <c r="B93" t="s">
        <v>206</v>
      </c>
      <c r="C93" t="s">
        <v>25</v>
      </c>
      <c r="D93" s="1">
        <v>45685</v>
      </c>
      <c r="E93" s="1">
        <v>45692</v>
      </c>
      <c r="F93" s="5">
        <v>7</v>
      </c>
      <c r="G93" s="2">
        <v>304201</v>
      </c>
      <c r="H93" s="5">
        <v>636869</v>
      </c>
      <c r="I93" s="5">
        <v>27258</v>
      </c>
      <c r="J93" s="5">
        <v>2799</v>
      </c>
      <c r="K93" s="2">
        <v>3836423</v>
      </c>
      <c r="L93" s="3">
        <v>4.2800010677234997E-2</v>
      </c>
      <c r="M93" s="3">
        <v>0.10268545014307701</v>
      </c>
      <c r="N93" s="7">
        <v>11.1601</v>
      </c>
      <c r="O93" s="7">
        <v>108.682</v>
      </c>
      <c r="P93" s="4">
        <v>11.611473992524701</v>
      </c>
      <c r="Q93" s="8">
        <v>3532222</v>
      </c>
    </row>
    <row r="94" spans="1:17" x14ac:dyDescent="0.3">
      <c r="A94" t="s">
        <v>13</v>
      </c>
      <c r="B94" t="s">
        <v>14</v>
      </c>
      <c r="C94" t="s">
        <v>15</v>
      </c>
      <c r="D94" s="1">
        <v>45805</v>
      </c>
      <c r="E94" s="1">
        <v>45850</v>
      </c>
      <c r="F94" s="5">
        <v>45</v>
      </c>
      <c r="G94" s="2">
        <v>323131</v>
      </c>
      <c r="H94" s="6">
        <v>389102.10082533304</v>
      </c>
      <c r="I94" s="5">
        <v>13622</v>
      </c>
      <c r="J94" s="5">
        <v>128</v>
      </c>
      <c r="K94" s="2">
        <v>176210</v>
      </c>
      <c r="L94" s="9">
        <v>3.5008806097695376E-2</v>
      </c>
      <c r="M94" s="3">
        <v>9.3965643811481404E-3</v>
      </c>
      <c r="N94" s="7">
        <v>23.721299999999999</v>
      </c>
      <c r="O94" s="7">
        <v>2524.4609</v>
      </c>
      <c r="P94" s="4">
        <v>-0.45467937152424198</v>
      </c>
      <c r="Q94" s="8">
        <v>-146921</v>
      </c>
    </row>
    <row r="95" spans="1:17" x14ac:dyDescent="0.3">
      <c r="A95" t="s">
        <v>207</v>
      </c>
      <c r="B95" t="s">
        <v>208</v>
      </c>
      <c r="C95" t="s">
        <v>30</v>
      </c>
      <c r="D95" s="1">
        <v>45731</v>
      </c>
      <c r="E95" s="1">
        <v>45776</v>
      </c>
      <c r="F95" s="5">
        <v>45</v>
      </c>
      <c r="G95" s="2">
        <v>91626</v>
      </c>
      <c r="H95" s="5">
        <v>1178646.3064422051</v>
      </c>
      <c r="I95" s="5">
        <v>15245</v>
      </c>
      <c r="J95" s="5">
        <v>495</v>
      </c>
      <c r="K95" s="2">
        <v>1186380</v>
      </c>
      <c r="L95" s="3">
        <v>3.0680985644618318E-2</v>
      </c>
      <c r="M95" s="3">
        <v>3.2469662184322699E-2</v>
      </c>
      <c r="N95" s="7">
        <v>6.0102000000000002</v>
      </c>
      <c r="O95" s="7">
        <v>185.10300000000001</v>
      </c>
      <c r="P95" s="4">
        <v>11.9480715080872</v>
      </c>
      <c r="Q95" s="8">
        <v>1094754</v>
      </c>
    </row>
    <row r="96" spans="1:17" x14ac:dyDescent="0.3">
      <c r="A96" t="s">
        <v>209</v>
      </c>
      <c r="B96" t="s">
        <v>210</v>
      </c>
      <c r="C96" t="s">
        <v>30</v>
      </c>
      <c r="D96" s="1">
        <v>45740</v>
      </c>
      <c r="E96" s="1">
        <v>45770</v>
      </c>
      <c r="F96" s="5">
        <v>30</v>
      </c>
      <c r="G96" s="2">
        <v>191873</v>
      </c>
      <c r="H96" s="5">
        <v>628785</v>
      </c>
      <c r="I96" s="5">
        <v>22259</v>
      </c>
      <c r="J96" s="5">
        <v>1640</v>
      </c>
      <c r="K96" s="2">
        <v>3378418</v>
      </c>
      <c r="L96" s="3">
        <v>3.5008806097695376E-2</v>
      </c>
      <c r="M96" s="3">
        <v>7.3678062806056002E-2</v>
      </c>
      <c r="N96" s="7">
        <v>8.6199999999999992</v>
      </c>
      <c r="O96" s="7">
        <v>116.9957</v>
      </c>
      <c r="P96" s="4">
        <v>16.607573759726499</v>
      </c>
      <c r="Q96" s="8">
        <v>3186545</v>
      </c>
    </row>
    <row r="97" spans="1:17" x14ac:dyDescent="0.3">
      <c r="A97" t="s">
        <v>211</v>
      </c>
      <c r="B97" t="s">
        <v>212</v>
      </c>
      <c r="C97" t="s">
        <v>25</v>
      </c>
      <c r="D97" s="1">
        <v>45889</v>
      </c>
      <c r="E97" s="1">
        <v>45910</v>
      </c>
      <c r="F97" s="5">
        <v>21</v>
      </c>
      <c r="G97" s="2">
        <v>331074</v>
      </c>
      <c r="H97" s="5">
        <v>918888</v>
      </c>
      <c r="I97" s="5">
        <v>40523</v>
      </c>
      <c r="J97" s="5">
        <v>4526</v>
      </c>
      <c r="K97" s="2">
        <v>19352370</v>
      </c>
      <c r="L97" s="3">
        <v>4.4100042660258902E-2</v>
      </c>
      <c r="M97" s="3">
        <v>0.111689657725242</v>
      </c>
      <c r="N97" s="7">
        <v>8.17</v>
      </c>
      <c r="O97" s="7">
        <v>73.1494</v>
      </c>
      <c r="P97" s="4">
        <v>57.453306511535203</v>
      </c>
      <c r="Q97" s="8">
        <v>19021296</v>
      </c>
    </row>
    <row r="98" spans="1:17" x14ac:dyDescent="0.3">
      <c r="A98" t="s">
        <v>213</v>
      </c>
      <c r="B98" t="s">
        <v>214</v>
      </c>
      <c r="C98" t="s">
        <v>39</v>
      </c>
      <c r="D98" s="1">
        <v>45850</v>
      </c>
      <c r="E98" s="1">
        <v>45865</v>
      </c>
      <c r="F98" s="5">
        <v>15</v>
      </c>
      <c r="G98" s="2">
        <v>536866</v>
      </c>
      <c r="H98" s="5">
        <v>6514999</v>
      </c>
      <c r="I98" s="5">
        <v>18242</v>
      </c>
      <c r="J98" s="5">
        <v>461</v>
      </c>
      <c r="K98" s="2">
        <v>563709</v>
      </c>
      <c r="L98" s="3">
        <v>2.8000004297775E-3</v>
      </c>
      <c r="M98" s="3">
        <v>2.52713518254577E-2</v>
      </c>
      <c r="N98" s="7">
        <v>29.430199999999999</v>
      </c>
      <c r="O98" s="7">
        <v>1164.5682999999999</v>
      </c>
      <c r="P98" s="4">
        <v>4.9999441201342601E-2</v>
      </c>
      <c r="Q98" s="8">
        <v>26843</v>
      </c>
    </row>
    <row r="99" spans="1:17" x14ac:dyDescent="0.3">
      <c r="A99" t="s">
        <v>215</v>
      </c>
      <c r="B99" t="s">
        <v>216</v>
      </c>
      <c r="C99" t="s">
        <v>22</v>
      </c>
      <c r="D99" s="1">
        <v>45658</v>
      </c>
      <c r="E99" s="1">
        <v>45679</v>
      </c>
      <c r="F99" s="5">
        <v>21</v>
      </c>
      <c r="G99" s="2">
        <v>53963</v>
      </c>
      <c r="H99" s="5">
        <v>1624403</v>
      </c>
      <c r="I99" s="5">
        <v>49057</v>
      </c>
      <c r="J99" s="5">
        <v>3586</v>
      </c>
      <c r="K99" s="2">
        <v>13178992</v>
      </c>
      <c r="L99" s="3">
        <v>3.0200018098957001E-2</v>
      </c>
      <c r="M99" s="3">
        <v>7.3098640357135605E-2</v>
      </c>
      <c r="N99" s="7">
        <v>1.1000000000000001</v>
      </c>
      <c r="O99" s="7">
        <v>15.0482</v>
      </c>
      <c r="P99" s="4">
        <v>243.22274521431399</v>
      </c>
      <c r="Q99" s="8">
        <v>13125029</v>
      </c>
    </row>
    <row r="100" spans="1:17" x14ac:dyDescent="0.3">
      <c r="A100" t="s">
        <v>217</v>
      </c>
      <c r="B100" t="s">
        <v>218</v>
      </c>
      <c r="C100" t="s">
        <v>22</v>
      </c>
      <c r="D100" s="1">
        <v>45669</v>
      </c>
      <c r="E100" s="1">
        <v>45674</v>
      </c>
      <c r="F100" s="5">
        <v>5</v>
      </c>
      <c r="G100" s="2">
        <v>8564</v>
      </c>
      <c r="H100" s="5">
        <v>226711</v>
      </c>
      <c r="I100" s="5">
        <v>8479</v>
      </c>
      <c r="J100" s="5">
        <v>317</v>
      </c>
      <c r="K100" s="2">
        <v>1130227</v>
      </c>
      <c r="L100" s="3">
        <v>3.7400037933757103E-2</v>
      </c>
      <c r="M100" s="3">
        <v>3.7386484255218802E-2</v>
      </c>
      <c r="N100" s="7">
        <v>1.01</v>
      </c>
      <c r="O100" s="7">
        <v>27.015799999999999</v>
      </c>
      <c r="P100" s="4">
        <v>130.97419430172801</v>
      </c>
      <c r="Q100" s="8">
        <v>1121663</v>
      </c>
    </row>
    <row r="101" spans="1:17" x14ac:dyDescent="0.3">
      <c r="A101" t="s">
        <v>219</v>
      </c>
      <c r="B101" t="s">
        <v>220</v>
      </c>
      <c r="C101" t="s">
        <v>30</v>
      </c>
      <c r="D101" s="1">
        <v>45739</v>
      </c>
      <c r="E101" s="1">
        <v>45784</v>
      </c>
      <c r="F101" s="5">
        <v>45</v>
      </c>
      <c r="G101" s="2">
        <v>60323</v>
      </c>
      <c r="H101" s="5">
        <v>502179</v>
      </c>
      <c r="I101" s="5">
        <v>19585</v>
      </c>
      <c r="J101" s="5">
        <v>1222</v>
      </c>
      <c r="K101" s="2">
        <v>2315648</v>
      </c>
      <c r="L101" s="3">
        <v>3.9000037835114597E-2</v>
      </c>
      <c r="M101" s="3">
        <v>6.23946898136329E-2</v>
      </c>
      <c r="N101" s="7">
        <v>3.0800999999999998</v>
      </c>
      <c r="O101" s="7">
        <v>49.364199999999997</v>
      </c>
      <c r="P101" s="4">
        <v>37.387480728743597</v>
      </c>
      <c r="Q101" s="8">
        <v>2255325</v>
      </c>
    </row>
    <row r="102" spans="1:17" x14ac:dyDescent="0.3">
      <c r="A102" t="s">
        <v>221</v>
      </c>
      <c r="B102" t="s">
        <v>222</v>
      </c>
      <c r="C102" t="s">
        <v>39</v>
      </c>
      <c r="D102" s="1">
        <v>45686</v>
      </c>
      <c r="E102" s="1">
        <v>45691</v>
      </c>
      <c r="F102" s="5">
        <v>5</v>
      </c>
      <c r="G102" s="2">
        <v>826276</v>
      </c>
      <c r="H102" s="5">
        <v>4229454</v>
      </c>
      <c r="I102" s="5">
        <v>23262</v>
      </c>
      <c r="J102" s="5">
        <v>509</v>
      </c>
      <c r="K102" s="2">
        <v>1110806</v>
      </c>
      <c r="L102" s="3">
        <v>5.50000070931142E-3</v>
      </c>
      <c r="M102" s="3">
        <v>2.18811796062247E-2</v>
      </c>
      <c r="N102" s="7">
        <v>35.520400000000002</v>
      </c>
      <c r="O102" s="7">
        <v>1623.3320000000001</v>
      </c>
      <c r="P102" s="4">
        <v>0.34435225033765998</v>
      </c>
      <c r="Q102" s="8">
        <v>284530</v>
      </c>
    </row>
    <row r="103" spans="1:17" x14ac:dyDescent="0.3">
      <c r="A103" t="s">
        <v>223</v>
      </c>
      <c r="B103" t="s">
        <v>224</v>
      </c>
      <c r="C103" t="s">
        <v>30</v>
      </c>
      <c r="D103" s="1">
        <v>45680</v>
      </c>
      <c r="E103" s="1">
        <v>45685</v>
      </c>
      <c r="F103" s="5">
        <v>5</v>
      </c>
      <c r="G103" s="2">
        <v>41129</v>
      </c>
      <c r="H103" s="5">
        <v>244264</v>
      </c>
      <c r="I103" s="5">
        <v>6644</v>
      </c>
      <c r="J103" s="5">
        <v>227</v>
      </c>
      <c r="K103" s="2">
        <v>172656</v>
      </c>
      <c r="L103" s="3">
        <v>2.7200078603478201E-2</v>
      </c>
      <c r="M103" s="3">
        <v>3.4166164960867003E-2</v>
      </c>
      <c r="N103" s="7">
        <v>6.1904000000000003</v>
      </c>
      <c r="O103" s="7">
        <v>181.185</v>
      </c>
      <c r="P103" s="4">
        <v>3.19791388071677</v>
      </c>
      <c r="Q103" s="8">
        <v>131527</v>
      </c>
    </row>
    <row r="104" spans="1:17" x14ac:dyDescent="0.3">
      <c r="A104" t="s">
        <v>225</v>
      </c>
      <c r="B104" t="s">
        <v>226</v>
      </c>
      <c r="C104" t="s">
        <v>22</v>
      </c>
      <c r="D104" s="1">
        <v>45917</v>
      </c>
      <c r="E104" s="1">
        <v>45977</v>
      </c>
      <c r="F104" s="5">
        <v>60</v>
      </c>
      <c r="G104" s="2">
        <v>47440</v>
      </c>
      <c r="H104" s="5">
        <v>303663</v>
      </c>
      <c r="I104" s="5">
        <v>16246</v>
      </c>
      <c r="J104" s="5">
        <v>685</v>
      </c>
      <c r="K104" s="2">
        <v>1166054</v>
      </c>
      <c r="L104" s="3">
        <v>5.3500097147166401E-2</v>
      </c>
      <c r="M104" s="3">
        <v>4.2164225040009801E-2</v>
      </c>
      <c r="N104" s="7">
        <v>2.9201000000000001</v>
      </c>
      <c r="O104" s="7">
        <v>69.255499999999998</v>
      </c>
      <c r="P104" s="4">
        <v>23.5795531197302</v>
      </c>
      <c r="Q104" s="8">
        <v>1118614</v>
      </c>
    </row>
    <row r="105" spans="1:17" x14ac:dyDescent="0.3">
      <c r="A105" t="s">
        <v>227</v>
      </c>
      <c r="B105" t="s">
        <v>228</v>
      </c>
      <c r="C105" t="s">
        <v>25</v>
      </c>
      <c r="D105" s="1">
        <v>45881</v>
      </c>
      <c r="E105" s="1">
        <v>45911</v>
      </c>
      <c r="F105" s="5">
        <v>30</v>
      </c>
      <c r="G105" s="2">
        <v>283933</v>
      </c>
      <c r="H105" s="5">
        <v>1426386</v>
      </c>
      <c r="I105" s="5">
        <v>61192</v>
      </c>
      <c r="J105" s="5">
        <v>3304</v>
      </c>
      <c r="K105" s="2">
        <v>4181183</v>
      </c>
      <c r="L105" s="3">
        <v>4.2900028463543502E-2</v>
      </c>
      <c r="M105" s="3">
        <v>5.3993986141979297E-2</v>
      </c>
      <c r="N105" s="7">
        <v>4.6399999999999997</v>
      </c>
      <c r="O105" s="7">
        <v>85.936099999999996</v>
      </c>
      <c r="P105" s="4">
        <v>13.725949431732101</v>
      </c>
      <c r="Q105" s="8">
        <v>3897250</v>
      </c>
    </row>
    <row r="106" spans="1:17" x14ac:dyDescent="0.3">
      <c r="A106" t="s">
        <v>229</v>
      </c>
      <c r="B106" t="s">
        <v>230</v>
      </c>
      <c r="C106" t="s">
        <v>39</v>
      </c>
      <c r="D106" s="1">
        <v>45684</v>
      </c>
      <c r="E106" s="1">
        <v>45699</v>
      </c>
      <c r="F106" s="5">
        <v>15</v>
      </c>
      <c r="G106" s="2">
        <v>428908</v>
      </c>
      <c r="H106" s="5">
        <v>3154545</v>
      </c>
      <c r="I106" s="5">
        <v>13880</v>
      </c>
      <c r="J106" s="5">
        <v>328</v>
      </c>
      <c r="K106" s="2">
        <v>1141955</v>
      </c>
      <c r="L106" s="3">
        <v>4.4000006340058602E-3</v>
      </c>
      <c r="M106" s="3">
        <v>2.3631123919308401E-2</v>
      </c>
      <c r="N106" s="7">
        <v>30.901199999999999</v>
      </c>
      <c r="O106" s="7">
        <v>1307.6463000000001</v>
      </c>
      <c r="P106" s="4">
        <v>1.6624707396458001</v>
      </c>
      <c r="Q106" s="8">
        <v>713047</v>
      </c>
    </row>
    <row r="107" spans="1:17" x14ac:dyDescent="0.3">
      <c r="A107" t="s">
        <v>231</v>
      </c>
      <c r="B107" t="s">
        <v>232</v>
      </c>
      <c r="C107" t="s">
        <v>30</v>
      </c>
      <c r="D107" s="1">
        <v>45761</v>
      </c>
      <c r="E107" s="1">
        <v>45775</v>
      </c>
      <c r="F107" s="5">
        <v>14</v>
      </c>
      <c r="G107" s="2">
        <v>66729</v>
      </c>
      <c r="H107" s="5">
        <v>359677</v>
      </c>
      <c r="I107" s="5">
        <v>8920</v>
      </c>
      <c r="J107" s="5">
        <v>649</v>
      </c>
      <c r="K107" s="2">
        <v>1814099</v>
      </c>
      <c r="L107" s="3">
        <v>2.4800028914831899E-2</v>
      </c>
      <c r="M107" s="3">
        <v>7.2757847533632306E-2</v>
      </c>
      <c r="N107" s="7">
        <v>7.4808000000000003</v>
      </c>
      <c r="O107" s="7">
        <v>102.8182</v>
      </c>
      <c r="P107" s="4">
        <v>26.1860660282636</v>
      </c>
      <c r="Q107" s="8">
        <v>1747370</v>
      </c>
    </row>
    <row r="108" spans="1:17" x14ac:dyDescent="0.3">
      <c r="A108" t="s">
        <v>233</v>
      </c>
      <c r="B108" t="s">
        <v>234</v>
      </c>
      <c r="C108" t="s">
        <v>22</v>
      </c>
      <c r="D108" s="1">
        <v>45661</v>
      </c>
      <c r="E108" s="1">
        <v>45721</v>
      </c>
      <c r="F108" s="5">
        <v>60</v>
      </c>
      <c r="G108" s="2">
        <v>6737</v>
      </c>
      <c r="H108" s="5">
        <v>57857</v>
      </c>
      <c r="I108" s="5">
        <v>2916</v>
      </c>
      <c r="J108" s="5">
        <v>203</v>
      </c>
      <c r="K108" s="2">
        <v>808578</v>
      </c>
      <c r="L108" s="3">
        <v>5.0400124444751698E-2</v>
      </c>
      <c r="M108" s="3">
        <v>6.9615912208504799E-2</v>
      </c>
      <c r="N108" s="7">
        <v>2.3104</v>
      </c>
      <c r="O108" s="7">
        <v>33.187199999999997</v>
      </c>
      <c r="P108" s="4">
        <v>119.02048389490901</v>
      </c>
      <c r="Q108" s="8">
        <v>801841</v>
      </c>
    </row>
    <row r="109" spans="1:17" x14ac:dyDescent="0.3">
      <c r="A109" t="s">
        <v>235</v>
      </c>
      <c r="B109" t="s">
        <v>236</v>
      </c>
      <c r="C109" t="s">
        <v>25</v>
      </c>
      <c r="D109" s="1">
        <v>45732</v>
      </c>
      <c r="E109" s="1">
        <v>45742</v>
      </c>
      <c r="F109" s="5">
        <v>10</v>
      </c>
      <c r="G109" s="2">
        <v>57256</v>
      </c>
      <c r="H109" s="5">
        <v>572447</v>
      </c>
      <c r="I109" s="5">
        <v>13567</v>
      </c>
      <c r="J109" s="5">
        <v>1550</v>
      </c>
      <c r="K109" s="2">
        <v>8298896</v>
      </c>
      <c r="L109" s="3">
        <v>2.37000106560083E-2</v>
      </c>
      <c r="M109" s="3">
        <v>0.11424780717918499</v>
      </c>
      <c r="N109" s="7">
        <v>4.2202000000000002</v>
      </c>
      <c r="O109" s="7">
        <v>36.939399999999999</v>
      </c>
      <c r="P109" s="4">
        <v>143.94369149084801</v>
      </c>
      <c r="Q109" s="8">
        <v>8241640</v>
      </c>
    </row>
    <row r="110" spans="1:17" x14ac:dyDescent="0.3">
      <c r="A110" t="s">
        <v>237</v>
      </c>
      <c r="B110" t="s">
        <v>238</v>
      </c>
      <c r="C110" t="s">
        <v>30</v>
      </c>
      <c r="D110" s="1">
        <v>45692</v>
      </c>
      <c r="E110" s="1">
        <v>45697</v>
      </c>
      <c r="F110" s="5">
        <v>5</v>
      </c>
      <c r="G110" s="2">
        <v>218143</v>
      </c>
      <c r="H110" s="5">
        <v>1634078</v>
      </c>
      <c r="I110" s="5">
        <v>66507</v>
      </c>
      <c r="J110" s="5">
        <v>4369</v>
      </c>
      <c r="K110" s="2">
        <v>10234087</v>
      </c>
      <c r="L110" s="3">
        <v>4.0700015543933599E-2</v>
      </c>
      <c r="M110" s="3">
        <v>6.5692333137865197E-2</v>
      </c>
      <c r="N110" s="7">
        <v>3.28</v>
      </c>
      <c r="O110" s="7">
        <v>49.929699999999997</v>
      </c>
      <c r="P110" s="4">
        <v>45.914578968841496</v>
      </c>
      <c r="Q110" s="8">
        <v>10015944</v>
      </c>
    </row>
    <row r="111" spans="1:17" x14ac:dyDescent="0.3">
      <c r="A111" t="s">
        <v>16</v>
      </c>
      <c r="B111" t="s">
        <v>17</v>
      </c>
      <c r="C111" t="s">
        <v>15</v>
      </c>
      <c r="D111" s="1">
        <v>45712</v>
      </c>
      <c r="E111" s="1">
        <v>45742</v>
      </c>
      <c r="F111" s="5">
        <v>30</v>
      </c>
      <c r="G111" s="2">
        <v>408555</v>
      </c>
      <c r="H111" s="5">
        <v>32171111</v>
      </c>
      <c r="I111" s="5">
        <v>28954</v>
      </c>
      <c r="J111" s="5">
        <v>165</v>
      </c>
      <c r="K111" s="2">
        <v>443458</v>
      </c>
      <c r="L111" s="3">
        <v>9.0000000310837898E-4</v>
      </c>
      <c r="M111" s="3">
        <v>5.69869448090074E-3</v>
      </c>
      <c r="N111" s="7">
        <v>14.1105</v>
      </c>
      <c r="O111" s="7">
        <v>2476.0909000000001</v>
      </c>
      <c r="P111" s="4">
        <v>8.5430358213704399E-2</v>
      </c>
      <c r="Q111" s="8">
        <v>34903</v>
      </c>
    </row>
    <row r="112" spans="1:17" x14ac:dyDescent="0.3">
      <c r="A112" t="s">
        <v>239</v>
      </c>
      <c r="B112" t="s">
        <v>240</v>
      </c>
      <c r="C112" t="s">
        <v>30</v>
      </c>
      <c r="D112" s="1">
        <v>45808</v>
      </c>
      <c r="E112" s="1">
        <v>45822</v>
      </c>
      <c r="F112" s="5">
        <v>14</v>
      </c>
      <c r="G112" s="2">
        <v>108660</v>
      </c>
      <c r="H112" s="5">
        <v>949342</v>
      </c>
      <c r="I112" s="5">
        <v>21645</v>
      </c>
      <c r="J112" s="5">
        <v>889</v>
      </c>
      <c r="K112" s="2">
        <v>1069428</v>
      </c>
      <c r="L112" s="3">
        <v>2.2800002528066798E-2</v>
      </c>
      <c r="M112" s="3">
        <v>4.10718410718411E-2</v>
      </c>
      <c r="N112" s="7">
        <v>5.0201000000000002</v>
      </c>
      <c r="O112" s="7">
        <v>122.2272</v>
      </c>
      <c r="P112" s="4">
        <v>8.8419657647708405</v>
      </c>
      <c r="Q112" s="8">
        <v>960768</v>
      </c>
    </row>
    <row r="113" spans="1:17" x14ac:dyDescent="0.3">
      <c r="A113" t="s">
        <v>241</v>
      </c>
      <c r="B113" t="s">
        <v>242</v>
      </c>
      <c r="C113" t="s">
        <v>39</v>
      </c>
      <c r="D113" s="1">
        <v>45869</v>
      </c>
      <c r="E113" s="1">
        <v>45874</v>
      </c>
      <c r="F113" s="5">
        <v>5</v>
      </c>
      <c r="G113" s="2">
        <v>182766</v>
      </c>
      <c r="H113" s="5">
        <v>1439387</v>
      </c>
      <c r="I113" s="5">
        <v>7053</v>
      </c>
      <c r="J113" s="5">
        <v>119</v>
      </c>
      <c r="K113" s="2">
        <v>138007</v>
      </c>
      <c r="L113" s="3">
        <v>4.9000025705387097E-3</v>
      </c>
      <c r="M113" s="3">
        <v>1.6872252942010502E-2</v>
      </c>
      <c r="N113" s="7">
        <v>25.9132</v>
      </c>
      <c r="O113" s="7">
        <v>1535.8487</v>
      </c>
      <c r="P113" s="4">
        <v>-0.24489784752087401</v>
      </c>
      <c r="Q113" s="8">
        <v>-44759</v>
      </c>
    </row>
    <row r="114" spans="1:17" x14ac:dyDescent="0.3">
      <c r="A114" t="s">
        <v>243</v>
      </c>
      <c r="B114" t="s">
        <v>244</v>
      </c>
      <c r="C114" t="s">
        <v>39</v>
      </c>
      <c r="D114" s="1">
        <v>45881</v>
      </c>
      <c r="E114" s="1">
        <v>45891</v>
      </c>
      <c r="F114" s="5">
        <v>10</v>
      </c>
      <c r="G114" s="2">
        <v>151362</v>
      </c>
      <c r="H114" s="5">
        <v>2245000</v>
      </c>
      <c r="I114" s="5">
        <v>5388</v>
      </c>
      <c r="J114" s="5">
        <v>134</v>
      </c>
      <c r="K114" s="2">
        <v>25363</v>
      </c>
      <c r="L114" s="3">
        <v>2.3999999999999998E-3</v>
      </c>
      <c r="M114" s="3">
        <v>2.48700816629547E-2</v>
      </c>
      <c r="N114" s="7">
        <v>28.092400000000001</v>
      </c>
      <c r="O114" s="7">
        <v>1129.5672</v>
      </c>
      <c r="P114" s="4">
        <v>-0.83243482512123201</v>
      </c>
      <c r="Q114" s="8">
        <v>-125999</v>
      </c>
    </row>
    <row r="115" spans="1:17" x14ac:dyDescent="0.3">
      <c r="A115" t="s">
        <v>245</v>
      </c>
      <c r="B115" t="s">
        <v>246</v>
      </c>
      <c r="C115" t="s">
        <v>15</v>
      </c>
      <c r="D115" s="1">
        <v>45921</v>
      </c>
      <c r="E115" s="1">
        <v>45942</v>
      </c>
      <c r="F115" s="5">
        <v>21</v>
      </c>
      <c r="G115" s="2">
        <v>423232</v>
      </c>
      <c r="H115" s="5">
        <v>17845454</v>
      </c>
      <c r="I115" s="5">
        <v>19630</v>
      </c>
      <c r="J115" s="5">
        <v>418</v>
      </c>
      <c r="K115" s="2">
        <v>402631</v>
      </c>
      <c r="L115" s="3">
        <v>1.10000003362201E-3</v>
      </c>
      <c r="M115" s="3">
        <v>2.1293937850229198E-2</v>
      </c>
      <c r="N115" s="7">
        <v>21.560500000000001</v>
      </c>
      <c r="O115" s="7">
        <v>1012.5167</v>
      </c>
      <c r="P115" s="4">
        <v>-4.8675430969302901E-2</v>
      </c>
      <c r="Q115" s="8">
        <v>-20601</v>
      </c>
    </row>
    <row r="116" spans="1:17" x14ac:dyDescent="0.3">
      <c r="A116" t="s">
        <v>247</v>
      </c>
      <c r="B116" t="s">
        <v>248</v>
      </c>
      <c r="C116" t="s">
        <v>25</v>
      </c>
      <c r="D116" s="1">
        <v>45706</v>
      </c>
      <c r="E116" s="1">
        <v>45727</v>
      </c>
      <c r="F116" s="5">
        <v>21</v>
      </c>
      <c r="G116" s="2">
        <v>250381</v>
      </c>
      <c r="H116" s="5">
        <v>427832</v>
      </c>
      <c r="I116" s="5">
        <v>21905</v>
      </c>
      <c r="J116" s="5">
        <v>2181</v>
      </c>
      <c r="K116" s="2">
        <v>5064192</v>
      </c>
      <c r="L116" s="3">
        <v>5.1200003739785699E-2</v>
      </c>
      <c r="M116" s="3">
        <v>9.9566309061857997E-2</v>
      </c>
      <c r="N116" s="7">
        <v>11.430300000000001</v>
      </c>
      <c r="O116" s="7">
        <v>114.801</v>
      </c>
      <c r="P116" s="4">
        <v>19.225943661859301</v>
      </c>
      <c r="Q116" s="8">
        <v>4813811</v>
      </c>
    </row>
    <row r="117" spans="1:17" x14ac:dyDescent="0.3">
      <c r="A117" t="s">
        <v>249</v>
      </c>
      <c r="B117" t="s">
        <v>250</v>
      </c>
      <c r="C117" t="s">
        <v>22</v>
      </c>
      <c r="D117" s="1">
        <v>45893</v>
      </c>
      <c r="E117" s="1">
        <v>45907</v>
      </c>
      <c r="F117" s="5">
        <v>14</v>
      </c>
      <c r="G117" s="2">
        <v>13315</v>
      </c>
      <c r="H117" s="5">
        <v>100000</v>
      </c>
      <c r="I117" s="5">
        <v>5140</v>
      </c>
      <c r="J117" s="5">
        <v>425</v>
      </c>
      <c r="K117" s="2">
        <v>1248847</v>
      </c>
      <c r="L117" s="3">
        <v>5.1400000000000001E-2</v>
      </c>
      <c r="M117" s="3">
        <v>8.2684824902723705E-2</v>
      </c>
      <c r="N117" s="7">
        <v>2.5905</v>
      </c>
      <c r="O117" s="7">
        <v>31.3294</v>
      </c>
      <c r="P117" s="4">
        <v>92.792489673300807</v>
      </c>
      <c r="Q117" s="8">
        <v>1235532</v>
      </c>
    </row>
    <row r="118" spans="1:17" x14ac:dyDescent="0.3">
      <c r="A118" t="s">
        <v>251</v>
      </c>
      <c r="B118" t="s">
        <v>252</v>
      </c>
      <c r="C118" t="s">
        <v>39</v>
      </c>
      <c r="D118" s="1">
        <v>45941</v>
      </c>
      <c r="E118" s="1">
        <v>45986</v>
      </c>
      <c r="F118" s="5">
        <v>45</v>
      </c>
      <c r="G118" s="2">
        <v>489040</v>
      </c>
      <c r="H118" s="5">
        <v>7942812</v>
      </c>
      <c r="I118" s="5">
        <v>25417</v>
      </c>
      <c r="J118" s="5">
        <v>648</v>
      </c>
      <c r="K118" s="2">
        <v>995353</v>
      </c>
      <c r="L118" s="3">
        <v>3.2000002014399898E-3</v>
      </c>
      <c r="M118" s="3">
        <v>2.5494747609867401E-2</v>
      </c>
      <c r="N118" s="7">
        <v>19.2407</v>
      </c>
      <c r="O118" s="7">
        <v>754.69140000000004</v>
      </c>
      <c r="P118" s="4">
        <v>1.03532021920497</v>
      </c>
      <c r="Q118" s="8">
        <v>506313</v>
      </c>
    </row>
    <row r="119" spans="1:17" x14ac:dyDescent="0.3">
      <c r="A119" t="s">
        <v>253</v>
      </c>
      <c r="B119" t="s">
        <v>178</v>
      </c>
      <c r="C119" t="s">
        <v>30</v>
      </c>
      <c r="D119" s="1">
        <v>45737</v>
      </c>
      <c r="E119" s="1">
        <v>45747</v>
      </c>
      <c r="F119" s="5">
        <v>10</v>
      </c>
      <c r="G119" s="2">
        <v>89901</v>
      </c>
      <c r="H119" s="5">
        <v>370030</v>
      </c>
      <c r="I119" s="5">
        <v>12248</v>
      </c>
      <c r="J119" s="5">
        <v>500</v>
      </c>
      <c r="K119" s="2">
        <v>814808</v>
      </c>
      <c r="L119" s="3">
        <v>3.31000189173851E-2</v>
      </c>
      <c r="M119" s="3">
        <v>4.0822991508817803E-2</v>
      </c>
      <c r="N119" s="7">
        <v>7.3400999999999996</v>
      </c>
      <c r="O119" s="7">
        <v>179.80199999999999</v>
      </c>
      <c r="P119" s="4">
        <v>8.06339195337093</v>
      </c>
      <c r="Q119" s="8">
        <v>724907</v>
      </c>
    </row>
    <row r="120" spans="1:17" x14ac:dyDescent="0.3">
      <c r="A120" t="s">
        <v>254</v>
      </c>
      <c r="B120" t="s">
        <v>255</v>
      </c>
      <c r="C120" t="s">
        <v>30</v>
      </c>
      <c r="D120" s="1">
        <v>45733</v>
      </c>
      <c r="E120" s="1">
        <v>45743</v>
      </c>
      <c r="F120" s="5">
        <v>10</v>
      </c>
      <c r="G120" s="2">
        <v>233375</v>
      </c>
      <c r="H120" s="5">
        <v>2030041</v>
      </c>
      <c r="I120" s="5">
        <v>48518</v>
      </c>
      <c r="J120" s="5">
        <v>1766</v>
      </c>
      <c r="K120" s="2">
        <v>973802</v>
      </c>
      <c r="L120" s="3">
        <v>2.3900009901277899E-2</v>
      </c>
      <c r="M120" s="3">
        <v>3.6398862277917499E-2</v>
      </c>
      <c r="N120" s="7">
        <v>4.8101000000000003</v>
      </c>
      <c r="O120" s="7">
        <v>132.1489</v>
      </c>
      <c r="P120" s="4">
        <v>3.1726920192822701</v>
      </c>
      <c r="Q120" s="8">
        <v>740427</v>
      </c>
    </row>
    <row r="121" spans="1:17" x14ac:dyDescent="0.3">
      <c r="A121" t="s">
        <v>256</v>
      </c>
      <c r="B121" t="s">
        <v>257</v>
      </c>
      <c r="C121" t="s">
        <v>30</v>
      </c>
      <c r="D121" s="1">
        <v>45881</v>
      </c>
      <c r="E121" s="1">
        <v>45911</v>
      </c>
      <c r="F121" s="5">
        <v>30</v>
      </c>
      <c r="G121" s="2">
        <v>206780</v>
      </c>
      <c r="H121" s="5">
        <v>1075563</v>
      </c>
      <c r="I121" s="6">
        <v>32999.33296288261</v>
      </c>
      <c r="J121" s="5">
        <v>1805</v>
      </c>
      <c r="K121" s="2">
        <v>807254</v>
      </c>
      <c r="L121" s="9">
        <v>3.0680985644618318E-2</v>
      </c>
      <c r="M121" s="9">
        <v>5.4698075322620908E-2</v>
      </c>
      <c r="N121" s="10">
        <v>6.2661872660451809</v>
      </c>
      <c r="O121" s="7">
        <v>114.5596</v>
      </c>
      <c r="P121" s="4">
        <v>2.9039268788084001</v>
      </c>
      <c r="Q121" s="8">
        <v>600474</v>
      </c>
    </row>
    <row r="122" spans="1:17" x14ac:dyDescent="0.3">
      <c r="A122" t="s">
        <v>258</v>
      </c>
      <c r="B122" t="s">
        <v>259</v>
      </c>
      <c r="C122" t="s">
        <v>25</v>
      </c>
      <c r="D122" s="1">
        <v>45951</v>
      </c>
      <c r="E122" s="1">
        <v>45981</v>
      </c>
      <c r="F122" s="5">
        <v>30</v>
      </c>
      <c r="G122" s="2">
        <v>347980</v>
      </c>
      <c r="H122" s="5">
        <v>1003804</v>
      </c>
      <c r="I122" s="5">
        <v>34832</v>
      </c>
      <c r="J122" s="5">
        <v>2030</v>
      </c>
      <c r="K122" s="2">
        <v>15712384</v>
      </c>
      <c r="L122" s="3">
        <v>3.4700001195452503E-2</v>
      </c>
      <c r="M122" s="3">
        <v>5.8279742765273299E-2</v>
      </c>
      <c r="N122" s="7">
        <v>9.9901999999999997</v>
      </c>
      <c r="O122" s="7">
        <v>171.4187</v>
      </c>
      <c r="P122" s="4">
        <v>44.153123742743801</v>
      </c>
      <c r="Q122" s="8">
        <v>15364404</v>
      </c>
    </row>
    <row r="123" spans="1:17" x14ac:dyDescent="0.3">
      <c r="A123" t="s">
        <v>260</v>
      </c>
      <c r="B123" t="s">
        <v>261</v>
      </c>
      <c r="C123" t="s">
        <v>25</v>
      </c>
      <c r="D123" s="1">
        <v>45890</v>
      </c>
      <c r="E123" s="1">
        <v>45897</v>
      </c>
      <c r="F123" s="5">
        <v>7</v>
      </c>
      <c r="G123" s="2">
        <v>266769</v>
      </c>
      <c r="H123" s="5">
        <v>977166</v>
      </c>
      <c r="I123" s="5">
        <v>41041</v>
      </c>
      <c r="J123" s="5">
        <v>1961</v>
      </c>
      <c r="K123" s="2">
        <v>6166933</v>
      </c>
      <c r="L123" s="3">
        <v>4.2000028654292101E-2</v>
      </c>
      <c r="M123" s="3">
        <v>4.7781486805877002E-2</v>
      </c>
      <c r="N123" s="7">
        <v>6.5000999999999998</v>
      </c>
      <c r="O123" s="7">
        <v>136.03720000000001</v>
      </c>
      <c r="P123" s="4">
        <v>22.117127552301799</v>
      </c>
      <c r="Q123" s="8">
        <v>5900164</v>
      </c>
    </row>
    <row r="124" spans="1:17" x14ac:dyDescent="0.3">
      <c r="A124" t="s">
        <v>262</v>
      </c>
      <c r="B124" t="s">
        <v>263</v>
      </c>
      <c r="C124" t="s">
        <v>22</v>
      </c>
      <c r="D124" s="1">
        <v>45976</v>
      </c>
      <c r="E124" s="1">
        <v>45981</v>
      </c>
      <c r="F124" s="5">
        <v>5</v>
      </c>
      <c r="G124" s="2">
        <v>31826</v>
      </c>
      <c r="H124" s="5">
        <v>259459</v>
      </c>
      <c r="I124" s="5">
        <v>12480</v>
      </c>
      <c r="J124" s="5">
        <v>1136</v>
      </c>
      <c r="K124" s="2">
        <v>3594142</v>
      </c>
      <c r="L124" s="3">
        <v>4.81000851772342E-2</v>
      </c>
      <c r="M124" s="3">
        <v>9.1025641025640994E-2</v>
      </c>
      <c r="N124" s="7">
        <v>2.5501999999999998</v>
      </c>
      <c r="O124" s="7">
        <v>28.015799999999999</v>
      </c>
      <c r="P124" s="4">
        <v>111.930999811475</v>
      </c>
      <c r="Q124" s="8">
        <v>3562316</v>
      </c>
    </row>
    <row r="125" spans="1:17" x14ac:dyDescent="0.3">
      <c r="A125" t="s">
        <v>264</v>
      </c>
      <c r="B125" t="s">
        <v>265</v>
      </c>
      <c r="C125" t="s">
        <v>30</v>
      </c>
      <c r="D125" s="1">
        <v>45740</v>
      </c>
      <c r="E125" s="1">
        <v>45754</v>
      </c>
      <c r="F125" s="5">
        <v>14</v>
      </c>
      <c r="G125" s="2">
        <v>212751</v>
      </c>
      <c r="H125" s="5">
        <v>640393</v>
      </c>
      <c r="I125" s="5">
        <v>27665</v>
      </c>
      <c r="J125" s="5">
        <v>1416</v>
      </c>
      <c r="K125" s="2">
        <v>2271521</v>
      </c>
      <c r="L125" s="3">
        <v>4.3200034978520999E-2</v>
      </c>
      <c r="M125" s="3">
        <v>5.1183806253388801E-2</v>
      </c>
      <c r="N125" s="7">
        <v>7.6902999999999997</v>
      </c>
      <c r="O125" s="7">
        <v>150.24789999999999</v>
      </c>
      <c r="P125" s="4">
        <v>9.6768992860198093</v>
      </c>
      <c r="Q125" s="8">
        <v>2058770</v>
      </c>
    </row>
    <row r="126" spans="1:17" x14ac:dyDescent="0.3">
      <c r="A126" t="s">
        <v>266</v>
      </c>
      <c r="B126" t="s">
        <v>267</v>
      </c>
      <c r="C126" t="s">
        <v>22</v>
      </c>
      <c r="D126" s="1">
        <v>45985</v>
      </c>
      <c r="E126" s="1">
        <v>45990</v>
      </c>
      <c r="F126" s="5">
        <v>5</v>
      </c>
      <c r="G126" s="2">
        <v>56941</v>
      </c>
      <c r="H126" s="5">
        <v>376789</v>
      </c>
      <c r="I126" s="5">
        <v>16315</v>
      </c>
      <c r="J126" s="5">
        <v>957</v>
      </c>
      <c r="K126" s="2">
        <v>2823546</v>
      </c>
      <c r="L126" s="3">
        <v>4.33000963403921E-2</v>
      </c>
      <c r="M126" s="3">
        <v>5.8657676984370202E-2</v>
      </c>
      <c r="N126" s="7">
        <v>3.4901</v>
      </c>
      <c r="O126" s="7">
        <v>59.499499999999998</v>
      </c>
      <c r="P126" s="4">
        <v>48.587221861224798</v>
      </c>
      <c r="Q126" s="8">
        <v>2766605</v>
      </c>
    </row>
    <row r="127" spans="1:17" x14ac:dyDescent="0.3">
      <c r="A127" t="s">
        <v>268</v>
      </c>
      <c r="B127" t="s">
        <v>269</v>
      </c>
      <c r="C127" t="s">
        <v>39</v>
      </c>
      <c r="D127" s="1">
        <v>45972</v>
      </c>
      <c r="E127" s="1">
        <v>45979</v>
      </c>
      <c r="F127" s="5">
        <v>7</v>
      </c>
      <c r="G127" s="2">
        <v>522740</v>
      </c>
      <c r="H127" s="5">
        <v>7345652</v>
      </c>
      <c r="I127" s="5">
        <v>16895</v>
      </c>
      <c r="J127" s="5">
        <v>297</v>
      </c>
      <c r="K127" s="2">
        <v>60834</v>
      </c>
      <c r="L127" s="3">
        <v>2.3000000544539799E-3</v>
      </c>
      <c r="M127" s="3">
        <v>1.7579165433560199E-2</v>
      </c>
      <c r="N127" s="7">
        <v>30.9405</v>
      </c>
      <c r="O127" s="7">
        <v>1760.0672999999999</v>
      </c>
      <c r="P127" s="4">
        <v>-0.88362474652791101</v>
      </c>
      <c r="Q127" s="8">
        <v>-461906</v>
      </c>
    </row>
    <row r="128" spans="1:17" x14ac:dyDescent="0.3">
      <c r="A128" t="s">
        <v>270</v>
      </c>
      <c r="B128" t="s">
        <v>271</v>
      </c>
      <c r="C128" t="s">
        <v>25</v>
      </c>
      <c r="D128" s="1">
        <v>45772</v>
      </c>
      <c r="E128" s="1">
        <v>45779</v>
      </c>
      <c r="F128" s="5">
        <v>7</v>
      </c>
      <c r="G128" s="2">
        <v>199118</v>
      </c>
      <c r="H128" s="5">
        <v>379054</v>
      </c>
      <c r="I128" s="5">
        <v>20052</v>
      </c>
      <c r="J128" s="5">
        <v>1648</v>
      </c>
      <c r="K128" s="2">
        <v>6382777</v>
      </c>
      <c r="L128" s="3">
        <v>5.2900114495560001E-2</v>
      </c>
      <c r="M128" s="3">
        <v>8.2186315579493296E-2</v>
      </c>
      <c r="N128" s="7">
        <v>9.9300999999999995</v>
      </c>
      <c r="O128" s="7">
        <v>120.824</v>
      </c>
      <c r="P128" s="4">
        <v>31.055248646531201</v>
      </c>
      <c r="Q128" s="8">
        <v>6183659</v>
      </c>
    </row>
    <row r="129" spans="1:17" x14ac:dyDescent="0.3">
      <c r="A129" t="s">
        <v>272</v>
      </c>
      <c r="B129" t="s">
        <v>273</v>
      </c>
      <c r="C129" t="s">
        <v>30</v>
      </c>
      <c r="D129" s="1">
        <v>45982</v>
      </c>
      <c r="E129" s="1">
        <v>45989</v>
      </c>
      <c r="F129" s="5">
        <v>7</v>
      </c>
      <c r="G129" s="2">
        <v>75638</v>
      </c>
      <c r="H129" s="5">
        <v>408087</v>
      </c>
      <c r="I129" s="5">
        <v>13018</v>
      </c>
      <c r="J129" s="5">
        <v>437</v>
      </c>
      <c r="K129" s="2">
        <v>536840</v>
      </c>
      <c r="L129" s="3">
        <v>3.1900060526309303E-2</v>
      </c>
      <c r="M129" s="3">
        <v>3.3568904593639599E-2</v>
      </c>
      <c r="N129" s="7">
        <v>5.8102999999999998</v>
      </c>
      <c r="O129" s="7">
        <v>173.0847</v>
      </c>
      <c r="P129" s="4">
        <v>6.0974906792881898</v>
      </c>
      <c r="Q129" s="8">
        <v>461202</v>
      </c>
    </row>
    <row r="130" spans="1:17" x14ac:dyDescent="0.3">
      <c r="A130" t="s">
        <v>274</v>
      </c>
      <c r="B130" t="s">
        <v>275</v>
      </c>
      <c r="C130" t="s">
        <v>39</v>
      </c>
      <c r="D130" s="1">
        <v>45898</v>
      </c>
      <c r="E130" s="1">
        <v>45908</v>
      </c>
      <c r="F130" s="5">
        <v>10</v>
      </c>
      <c r="G130" s="2">
        <v>521978</v>
      </c>
      <c r="H130" s="5">
        <v>6859090</v>
      </c>
      <c r="I130" s="5">
        <v>15090</v>
      </c>
      <c r="J130" s="5">
        <v>363</v>
      </c>
      <c r="K130" s="2">
        <v>675607</v>
      </c>
      <c r="L130" s="3">
        <v>2.20000029158387E-3</v>
      </c>
      <c r="M130" s="3">
        <v>2.4055666003976101E-2</v>
      </c>
      <c r="N130" s="7">
        <v>34.591000000000001</v>
      </c>
      <c r="O130" s="7">
        <v>1437.9558999999999</v>
      </c>
      <c r="P130" s="4">
        <v>0.29432083344508803</v>
      </c>
      <c r="Q130" s="8">
        <v>153629</v>
      </c>
    </row>
    <row r="131" spans="1:17" x14ac:dyDescent="0.3">
      <c r="A131" t="s">
        <v>276</v>
      </c>
      <c r="B131" t="s">
        <v>277</v>
      </c>
      <c r="C131" t="s">
        <v>39</v>
      </c>
      <c r="D131" s="1">
        <v>45841</v>
      </c>
      <c r="E131" s="1">
        <v>45856</v>
      </c>
      <c r="F131" s="5">
        <v>15</v>
      </c>
      <c r="G131" s="2">
        <v>406866</v>
      </c>
      <c r="H131" s="5">
        <v>4990000</v>
      </c>
      <c r="I131" s="5">
        <v>12974</v>
      </c>
      <c r="J131" s="5">
        <v>255</v>
      </c>
      <c r="K131" s="2">
        <v>753791</v>
      </c>
      <c r="L131" s="3">
        <v>2.5999999999999999E-3</v>
      </c>
      <c r="M131" s="3">
        <v>1.9654694003391399E-2</v>
      </c>
      <c r="N131" s="7">
        <v>31.360099999999999</v>
      </c>
      <c r="O131" s="7">
        <v>1595.5528999999999</v>
      </c>
      <c r="P131" s="4">
        <v>0.85267631111963205</v>
      </c>
      <c r="Q131" s="8">
        <v>346925</v>
      </c>
    </row>
    <row r="132" spans="1:17" x14ac:dyDescent="0.3">
      <c r="A132" t="s">
        <v>278</v>
      </c>
      <c r="B132" t="s">
        <v>81</v>
      </c>
      <c r="C132" t="s">
        <v>39</v>
      </c>
      <c r="D132" s="1">
        <v>45701</v>
      </c>
      <c r="E132" s="1">
        <v>45706</v>
      </c>
      <c r="F132" s="5">
        <v>5</v>
      </c>
      <c r="G132" s="2">
        <v>742014</v>
      </c>
      <c r="H132" s="5">
        <v>4022040</v>
      </c>
      <c r="I132" s="5">
        <v>19708</v>
      </c>
      <c r="J132" s="5">
        <v>252</v>
      </c>
      <c r="K132" s="2">
        <v>138931</v>
      </c>
      <c r="L132" s="3">
        <v>4.90000099452019E-3</v>
      </c>
      <c r="M132" s="3">
        <v>1.27866856099046E-2</v>
      </c>
      <c r="N132" s="7">
        <v>37.650399999999998</v>
      </c>
      <c r="O132" s="7">
        <v>2944.5</v>
      </c>
      <c r="P132" s="4">
        <v>-0.81276498826167698</v>
      </c>
      <c r="Q132" s="8">
        <v>-603083</v>
      </c>
    </row>
    <row r="133" spans="1:17" x14ac:dyDescent="0.3">
      <c r="A133" t="s">
        <v>279</v>
      </c>
      <c r="B133" t="s">
        <v>280</v>
      </c>
      <c r="C133" t="s">
        <v>30</v>
      </c>
      <c r="D133" s="1">
        <v>45954</v>
      </c>
      <c r="E133" s="1">
        <v>45961</v>
      </c>
      <c r="F133" s="5">
        <v>7</v>
      </c>
      <c r="G133" s="2">
        <v>62416</v>
      </c>
      <c r="H133" s="5">
        <v>372669</v>
      </c>
      <c r="I133" s="5">
        <v>7677</v>
      </c>
      <c r="J133" s="5">
        <v>361</v>
      </c>
      <c r="K133" s="2">
        <v>374765</v>
      </c>
      <c r="L133" s="3">
        <v>2.0600049910242099E-2</v>
      </c>
      <c r="M133" s="3">
        <v>4.7023576918067002E-2</v>
      </c>
      <c r="N133" s="7">
        <v>8.1303000000000001</v>
      </c>
      <c r="O133" s="7">
        <v>172.89750000000001</v>
      </c>
      <c r="P133" s="4">
        <v>5.0043097923609299</v>
      </c>
      <c r="Q133" s="8">
        <v>312349</v>
      </c>
    </row>
    <row r="134" spans="1:17" x14ac:dyDescent="0.3">
      <c r="A134" t="s">
        <v>281</v>
      </c>
      <c r="B134" t="s">
        <v>282</v>
      </c>
      <c r="C134" t="s">
        <v>25</v>
      </c>
      <c r="D134" s="1">
        <v>45810</v>
      </c>
      <c r="E134" s="1">
        <v>45870</v>
      </c>
      <c r="F134" s="5">
        <v>60</v>
      </c>
      <c r="G134" s="2">
        <v>143478</v>
      </c>
      <c r="H134" s="5">
        <v>655418</v>
      </c>
      <c r="I134" s="5">
        <v>18024</v>
      </c>
      <c r="J134" s="5">
        <v>834</v>
      </c>
      <c r="K134" s="2">
        <v>1515658</v>
      </c>
      <c r="L134" s="3">
        <v>2.7500007628719399E-2</v>
      </c>
      <c r="M134" s="3">
        <v>4.6271637816245E-2</v>
      </c>
      <c r="N134" s="7">
        <v>7.9603999999999999</v>
      </c>
      <c r="O134" s="7">
        <v>172.036</v>
      </c>
      <c r="P134" s="4">
        <v>9.5636961764172899</v>
      </c>
      <c r="Q134" s="8">
        <v>1372180</v>
      </c>
    </row>
    <row r="135" spans="1:17" x14ac:dyDescent="0.3">
      <c r="A135" t="s">
        <v>283</v>
      </c>
      <c r="B135" t="s">
        <v>284</v>
      </c>
      <c r="C135" t="s">
        <v>39</v>
      </c>
      <c r="D135" s="1">
        <v>45910</v>
      </c>
      <c r="E135" s="1">
        <v>45955</v>
      </c>
      <c r="F135" s="5">
        <v>45</v>
      </c>
      <c r="G135" s="2">
        <v>734269</v>
      </c>
      <c r="H135" s="5">
        <v>13517878</v>
      </c>
      <c r="I135" s="5">
        <v>44609</v>
      </c>
      <c r="J135" s="5">
        <v>575</v>
      </c>
      <c r="K135" s="2">
        <v>451428</v>
      </c>
      <c r="L135" s="3">
        <v>3.30000019233788E-3</v>
      </c>
      <c r="M135" s="3">
        <v>1.28897756058195E-2</v>
      </c>
      <c r="N135" s="7">
        <v>16.460100000000001</v>
      </c>
      <c r="O135" s="7">
        <v>1276.9896000000001</v>
      </c>
      <c r="P135" s="4">
        <v>-0.385200791535527</v>
      </c>
      <c r="Q135" s="8">
        <v>-282841</v>
      </c>
    </row>
    <row r="136" spans="1:17" x14ac:dyDescent="0.3">
      <c r="A136" t="s">
        <v>285</v>
      </c>
      <c r="B136" t="s">
        <v>286</v>
      </c>
      <c r="C136" t="s">
        <v>39</v>
      </c>
      <c r="D136" s="1">
        <v>45946</v>
      </c>
      <c r="E136" s="1">
        <v>45991</v>
      </c>
      <c r="F136" s="5">
        <v>45</v>
      </c>
      <c r="G136" s="2">
        <v>671778</v>
      </c>
      <c r="H136" s="5">
        <v>4084230</v>
      </c>
      <c r="I136" s="5">
        <v>21238</v>
      </c>
      <c r="J136" s="5">
        <v>371</v>
      </c>
      <c r="K136" s="2">
        <v>1098488</v>
      </c>
      <c r="L136" s="3">
        <v>5.2000009793767704E-3</v>
      </c>
      <c r="M136" s="3">
        <v>1.7468688200395498E-2</v>
      </c>
      <c r="N136" s="7">
        <v>31.6309</v>
      </c>
      <c r="O136" s="7">
        <v>1810.7224000000001</v>
      </c>
      <c r="P136" s="4">
        <v>0.63519496023984101</v>
      </c>
      <c r="Q136" s="8">
        <v>426710</v>
      </c>
    </row>
    <row r="137" spans="1:17" x14ac:dyDescent="0.3">
      <c r="A137" t="s">
        <v>287</v>
      </c>
      <c r="B137" t="s">
        <v>288</v>
      </c>
      <c r="C137" t="s">
        <v>25</v>
      </c>
      <c r="D137" s="1">
        <v>45668</v>
      </c>
      <c r="E137" s="1">
        <v>45673</v>
      </c>
      <c r="F137" s="5">
        <v>5</v>
      </c>
      <c r="G137" s="2">
        <v>64049</v>
      </c>
      <c r="H137" s="5">
        <v>128707</v>
      </c>
      <c r="I137" s="5">
        <v>6770</v>
      </c>
      <c r="J137" s="5">
        <v>449</v>
      </c>
      <c r="K137" s="2">
        <v>711512</v>
      </c>
      <c r="L137" s="3">
        <v>5.2600091681105098E-2</v>
      </c>
      <c r="M137" s="3">
        <v>6.6322008862629206E-2</v>
      </c>
      <c r="N137" s="7">
        <v>9.4606999999999992</v>
      </c>
      <c r="O137" s="7">
        <v>142.6481</v>
      </c>
      <c r="P137" s="4">
        <v>10.1088697715811</v>
      </c>
      <c r="Q137" s="8">
        <v>647463</v>
      </c>
    </row>
    <row r="138" spans="1:17" x14ac:dyDescent="0.3">
      <c r="A138" t="s">
        <v>289</v>
      </c>
      <c r="B138" t="s">
        <v>290</v>
      </c>
      <c r="C138" t="s">
        <v>25</v>
      </c>
      <c r="D138" s="1">
        <v>45831</v>
      </c>
      <c r="E138" s="1">
        <v>45841</v>
      </c>
      <c r="F138" s="5">
        <v>10</v>
      </c>
      <c r="G138" s="2">
        <v>89527</v>
      </c>
      <c r="H138" s="5">
        <v>250640</v>
      </c>
      <c r="I138" s="5">
        <v>8221</v>
      </c>
      <c r="J138" s="5">
        <v>641</v>
      </c>
      <c r="K138" s="2">
        <v>3448744</v>
      </c>
      <c r="L138" s="3">
        <v>3.2800031918289202E-2</v>
      </c>
      <c r="M138" s="3">
        <v>7.7971049750638594E-2</v>
      </c>
      <c r="N138" s="7">
        <v>10.89</v>
      </c>
      <c r="O138" s="7">
        <v>139.6677</v>
      </c>
      <c r="P138" s="4">
        <v>37.521831402817</v>
      </c>
      <c r="Q138" s="8">
        <v>3359217</v>
      </c>
    </row>
    <row r="139" spans="1:17" x14ac:dyDescent="0.3">
      <c r="A139" t="s">
        <v>291</v>
      </c>
      <c r="B139" t="s">
        <v>292</v>
      </c>
      <c r="C139" t="s">
        <v>22</v>
      </c>
      <c r="D139" s="1">
        <v>45684</v>
      </c>
      <c r="E139" s="1">
        <v>45744</v>
      </c>
      <c r="F139" s="5">
        <v>60</v>
      </c>
      <c r="G139" s="2">
        <v>59180</v>
      </c>
      <c r="H139" s="5">
        <v>846176</v>
      </c>
      <c r="I139" s="5">
        <v>31647</v>
      </c>
      <c r="J139" s="5">
        <v>2044</v>
      </c>
      <c r="K139" s="2">
        <v>6703665</v>
      </c>
      <c r="L139" s="3">
        <v>3.7400020799455397E-2</v>
      </c>
      <c r="M139" s="3">
        <v>6.4587480645874801E-2</v>
      </c>
      <c r="N139" s="7">
        <v>1.87</v>
      </c>
      <c r="O139" s="7">
        <v>28.952999999999999</v>
      </c>
      <c r="P139" s="4">
        <v>112.275853328827</v>
      </c>
      <c r="Q139" s="8">
        <v>6644485</v>
      </c>
    </row>
    <row r="140" spans="1:17" x14ac:dyDescent="0.3">
      <c r="A140" t="s">
        <v>293</v>
      </c>
      <c r="B140" t="s">
        <v>294</v>
      </c>
      <c r="C140" t="s">
        <v>15</v>
      </c>
      <c r="D140" s="1">
        <v>45718</v>
      </c>
      <c r="E140" s="1">
        <v>45763</v>
      </c>
      <c r="F140" s="5">
        <v>45</v>
      </c>
      <c r="G140" s="2">
        <v>496969</v>
      </c>
      <c r="H140" s="5">
        <v>11960666</v>
      </c>
      <c r="I140" s="5">
        <v>35882</v>
      </c>
      <c r="J140" s="5">
        <v>272</v>
      </c>
      <c r="K140" s="2">
        <v>227515</v>
      </c>
      <c r="L140" s="3">
        <v>3.0000001672147699E-3</v>
      </c>
      <c r="M140" s="3">
        <v>7.5804024301878402E-3</v>
      </c>
      <c r="N140" s="7">
        <v>13.850099999999999</v>
      </c>
      <c r="O140" s="7">
        <v>1827.0918999999999</v>
      </c>
      <c r="P140" s="4">
        <v>-0.54219478478536898</v>
      </c>
      <c r="Q140" s="8">
        <v>-269454</v>
      </c>
    </row>
    <row r="141" spans="1:17" x14ac:dyDescent="0.3">
      <c r="A141" t="s">
        <v>295</v>
      </c>
      <c r="B141" t="s">
        <v>296</v>
      </c>
      <c r="C141" t="s">
        <v>25</v>
      </c>
      <c r="D141" s="1">
        <v>45862</v>
      </c>
      <c r="E141" s="1">
        <v>45867</v>
      </c>
      <c r="F141" s="5">
        <v>5</v>
      </c>
      <c r="G141" s="2">
        <v>197499</v>
      </c>
      <c r="H141" s="5">
        <v>1877500</v>
      </c>
      <c r="I141" s="5">
        <v>40554</v>
      </c>
      <c r="J141" s="5">
        <v>4290</v>
      </c>
      <c r="K141" s="2">
        <v>22306865</v>
      </c>
      <c r="L141" s="3">
        <v>2.1600000000000001E-2</v>
      </c>
      <c r="M141" s="3">
        <v>0.10578487942003301</v>
      </c>
      <c r="N141" s="7">
        <v>4.87</v>
      </c>
      <c r="O141" s="7">
        <v>46.037100000000002</v>
      </c>
      <c r="P141" s="4">
        <v>111.94672378088001</v>
      </c>
      <c r="Q141" s="8">
        <v>22109366</v>
      </c>
    </row>
    <row r="142" spans="1:17" x14ac:dyDescent="0.3">
      <c r="A142" t="s">
        <v>297</v>
      </c>
      <c r="B142" t="s">
        <v>298</v>
      </c>
      <c r="C142" t="s">
        <v>25</v>
      </c>
      <c r="D142" s="1">
        <v>45766</v>
      </c>
      <c r="E142" s="1">
        <v>45773</v>
      </c>
      <c r="F142" s="5">
        <v>7</v>
      </c>
      <c r="G142" s="2">
        <v>60695</v>
      </c>
      <c r="H142" s="5">
        <v>180499</v>
      </c>
      <c r="I142" s="5">
        <v>6498</v>
      </c>
      <c r="J142" s="5">
        <v>656</v>
      </c>
      <c r="K142" s="2">
        <v>1244235</v>
      </c>
      <c r="L142" s="3">
        <v>3.6000199447088398E-2</v>
      </c>
      <c r="M142" s="3">
        <v>0.100954139735303</v>
      </c>
      <c r="N142" s="7">
        <v>9.3406000000000002</v>
      </c>
      <c r="O142" s="7">
        <v>92.522900000000007</v>
      </c>
      <c r="P142" s="4">
        <v>19.499794052228399</v>
      </c>
      <c r="Q142" s="8">
        <v>1183540</v>
      </c>
    </row>
    <row r="143" spans="1:17" x14ac:dyDescent="0.3">
      <c r="A143" t="s">
        <v>299</v>
      </c>
      <c r="B143" t="s">
        <v>300</v>
      </c>
      <c r="C143" t="s">
        <v>30</v>
      </c>
      <c r="D143" s="1">
        <v>45846</v>
      </c>
      <c r="E143" s="1">
        <v>45851</v>
      </c>
      <c r="F143" s="5">
        <v>5</v>
      </c>
      <c r="G143" s="2">
        <v>240642</v>
      </c>
      <c r="H143" s="5">
        <v>2585596</v>
      </c>
      <c r="I143" s="5">
        <v>62830</v>
      </c>
      <c r="J143" s="5">
        <v>3933</v>
      </c>
      <c r="K143" s="2">
        <v>1945121</v>
      </c>
      <c r="L143" s="3">
        <v>2.4300006652237999E-2</v>
      </c>
      <c r="M143" s="3">
        <v>6.2597485277733594E-2</v>
      </c>
      <c r="N143" s="7">
        <v>3.83</v>
      </c>
      <c r="O143" s="7">
        <v>61.185400000000001</v>
      </c>
      <c r="P143" s="4">
        <v>7.0830486781193596</v>
      </c>
      <c r="Q143" s="8">
        <v>1704479</v>
      </c>
    </row>
    <row r="144" spans="1:17" x14ac:dyDescent="0.3">
      <c r="A144" t="s">
        <v>301</v>
      </c>
      <c r="B144" t="s">
        <v>302</v>
      </c>
      <c r="C144" t="s">
        <v>25</v>
      </c>
      <c r="D144" s="1">
        <v>45912</v>
      </c>
      <c r="E144" s="1">
        <v>45917</v>
      </c>
      <c r="F144" s="5">
        <v>5</v>
      </c>
      <c r="G144" s="2">
        <v>337537</v>
      </c>
      <c r="H144" s="6">
        <v>1178646.3064422051</v>
      </c>
      <c r="I144" s="5">
        <v>41263</v>
      </c>
      <c r="J144" s="5">
        <v>4204</v>
      </c>
      <c r="K144" s="2">
        <v>19203724</v>
      </c>
      <c r="L144" s="9">
        <v>3.5008806097695376E-2</v>
      </c>
      <c r="M144" s="3">
        <v>0.101883042919807</v>
      </c>
      <c r="N144" s="7">
        <v>8.1800999999999995</v>
      </c>
      <c r="O144" s="7">
        <v>80.289500000000004</v>
      </c>
      <c r="P144" s="4">
        <v>55.893685729268199</v>
      </c>
      <c r="Q144" s="8">
        <v>18866187</v>
      </c>
    </row>
    <row r="145" spans="1:17" x14ac:dyDescent="0.3">
      <c r="A145" t="s">
        <v>303</v>
      </c>
      <c r="B145" t="s">
        <v>304</v>
      </c>
      <c r="C145" t="s">
        <v>25</v>
      </c>
      <c r="D145" s="1">
        <v>45901</v>
      </c>
      <c r="E145" s="1">
        <v>45911</v>
      </c>
      <c r="F145" s="5">
        <v>10</v>
      </c>
      <c r="G145" s="2">
        <v>256225</v>
      </c>
      <c r="H145" s="5">
        <v>1333580</v>
      </c>
      <c r="I145" s="5">
        <v>30539</v>
      </c>
      <c r="J145" s="5">
        <v>2375</v>
      </c>
      <c r="K145" s="2">
        <v>5465158</v>
      </c>
      <c r="L145" s="3">
        <v>2.2900013497503001E-2</v>
      </c>
      <c r="M145" s="3">
        <v>7.7769409607387305E-2</v>
      </c>
      <c r="N145" s="7">
        <v>8.3901000000000003</v>
      </c>
      <c r="O145" s="7">
        <v>107.88420000000001</v>
      </c>
      <c r="P145" s="4">
        <v>20.3295267831008</v>
      </c>
      <c r="Q145" s="8">
        <v>5208933</v>
      </c>
    </row>
    <row r="146" spans="1:17" x14ac:dyDescent="0.3">
      <c r="A146" t="s">
        <v>305</v>
      </c>
      <c r="B146" t="s">
        <v>306</v>
      </c>
      <c r="C146" t="s">
        <v>25</v>
      </c>
      <c r="D146" s="1">
        <v>45769</v>
      </c>
      <c r="E146" s="1">
        <v>45776</v>
      </c>
      <c r="F146" s="5">
        <v>7</v>
      </c>
      <c r="G146" s="2">
        <v>103621</v>
      </c>
      <c r="H146" s="5">
        <v>1000000</v>
      </c>
      <c r="I146" s="5">
        <v>20600</v>
      </c>
      <c r="J146" s="5">
        <v>2008</v>
      </c>
      <c r="K146" s="2">
        <v>5315100</v>
      </c>
      <c r="L146" s="3">
        <v>2.06E-2</v>
      </c>
      <c r="M146" s="3">
        <v>9.7475728155339794E-2</v>
      </c>
      <c r="N146" s="7">
        <v>5.0301</v>
      </c>
      <c r="O146" s="7">
        <v>51.604100000000003</v>
      </c>
      <c r="P146" s="4">
        <v>50.293656691211197</v>
      </c>
      <c r="Q146" s="8">
        <v>5211479</v>
      </c>
    </row>
    <row r="147" spans="1:17" x14ac:dyDescent="0.3">
      <c r="A147" t="s">
        <v>307</v>
      </c>
      <c r="B147" t="s">
        <v>308</v>
      </c>
      <c r="C147" t="s">
        <v>39</v>
      </c>
      <c r="D147" s="1">
        <v>45701</v>
      </c>
      <c r="E147" s="1">
        <v>45711</v>
      </c>
      <c r="F147" s="5">
        <v>10</v>
      </c>
      <c r="G147" s="2">
        <v>457383</v>
      </c>
      <c r="H147" s="5">
        <v>3308444</v>
      </c>
      <c r="I147" s="5">
        <v>14888</v>
      </c>
      <c r="J147" s="5">
        <v>285</v>
      </c>
      <c r="K147" s="23"/>
      <c r="L147" s="3">
        <v>4.5000006045137798E-3</v>
      </c>
      <c r="M147" s="3">
        <v>1.9142933906501899E-2</v>
      </c>
      <c r="N147" s="7">
        <v>30.721599999999999</v>
      </c>
      <c r="O147" s="7">
        <v>1604.8525999999999</v>
      </c>
      <c r="P147" s="12"/>
      <c r="Q147" s="11"/>
    </row>
    <row r="148" spans="1:17" x14ac:dyDescent="0.3">
      <c r="A148" t="s">
        <v>309</v>
      </c>
      <c r="B148" t="s">
        <v>310</v>
      </c>
      <c r="C148" t="s">
        <v>22</v>
      </c>
      <c r="D148" s="1">
        <v>45965</v>
      </c>
      <c r="E148" s="1">
        <v>45980</v>
      </c>
      <c r="F148" s="5">
        <v>15</v>
      </c>
      <c r="G148" s="2">
        <v>15878</v>
      </c>
      <c r="H148" s="5">
        <v>75682</v>
      </c>
      <c r="I148" s="5">
        <v>4102</v>
      </c>
      <c r="J148" s="5">
        <v>297</v>
      </c>
      <c r="K148" s="2">
        <v>804645</v>
      </c>
      <c r="L148" s="3">
        <v>5.4200470389260298E-2</v>
      </c>
      <c r="M148" s="3">
        <v>7.2403705509507602E-2</v>
      </c>
      <c r="N148" s="7">
        <v>3.8708</v>
      </c>
      <c r="O148" s="7">
        <v>53.461300000000001</v>
      </c>
      <c r="P148" s="4">
        <v>49.676722509132098</v>
      </c>
      <c r="Q148" s="8">
        <v>788767</v>
      </c>
    </row>
    <row r="149" spans="1:17" x14ac:dyDescent="0.3">
      <c r="A149" t="s">
        <v>311</v>
      </c>
      <c r="B149" t="s">
        <v>312</v>
      </c>
      <c r="C149" t="s">
        <v>25</v>
      </c>
      <c r="D149" s="1">
        <v>45717</v>
      </c>
      <c r="E149" s="1">
        <v>45727</v>
      </c>
      <c r="F149" s="5">
        <v>10</v>
      </c>
      <c r="G149" s="2">
        <v>230455</v>
      </c>
      <c r="H149" s="5">
        <v>771011</v>
      </c>
      <c r="I149" s="5">
        <v>19815</v>
      </c>
      <c r="J149" s="5">
        <v>2062</v>
      </c>
      <c r="K149" s="2">
        <v>8594994</v>
      </c>
      <c r="L149" s="3">
        <v>2.5700022438071599E-2</v>
      </c>
      <c r="M149" s="3">
        <v>0.104062578854403</v>
      </c>
      <c r="N149" s="7">
        <v>11.6303</v>
      </c>
      <c r="O149" s="7">
        <v>111.7629</v>
      </c>
      <c r="P149" s="4">
        <v>36.295758391009102</v>
      </c>
      <c r="Q149" s="8">
        <v>8364539</v>
      </c>
    </row>
    <row r="150" spans="1:17" x14ac:dyDescent="0.3">
      <c r="A150" t="s">
        <v>313</v>
      </c>
      <c r="B150" t="s">
        <v>314</v>
      </c>
      <c r="C150" t="s">
        <v>30</v>
      </c>
      <c r="D150" s="1">
        <v>45976</v>
      </c>
      <c r="E150" s="1">
        <v>45981</v>
      </c>
      <c r="F150" s="5">
        <v>5</v>
      </c>
      <c r="G150" s="2">
        <v>195641</v>
      </c>
      <c r="H150" s="5">
        <v>680829</v>
      </c>
      <c r="I150" s="5">
        <v>27097</v>
      </c>
      <c r="J150" s="5">
        <v>1081</v>
      </c>
      <c r="K150" s="2">
        <v>2049869</v>
      </c>
      <c r="L150" s="3">
        <v>3.9800008519026098E-2</v>
      </c>
      <c r="M150" s="3">
        <v>3.98937151714212E-2</v>
      </c>
      <c r="N150" s="7">
        <v>7.22</v>
      </c>
      <c r="O150" s="7">
        <v>180.98150000000001</v>
      </c>
      <c r="P150" s="4">
        <v>9.4777066156889394</v>
      </c>
      <c r="Q150" s="8">
        <v>1854228</v>
      </c>
    </row>
    <row r="151" spans="1:17" x14ac:dyDescent="0.3">
      <c r="A151" t="s">
        <v>315</v>
      </c>
      <c r="B151" t="s">
        <v>316</v>
      </c>
      <c r="C151" t="s">
        <v>15</v>
      </c>
      <c r="D151" s="1">
        <v>45850</v>
      </c>
      <c r="E151" s="1">
        <v>45864</v>
      </c>
      <c r="F151" s="5">
        <v>14</v>
      </c>
      <c r="G151" s="2">
        <v>556172</v>
      </c>
      <c r="H151" s="5">
        <v>9025769</v>
      </c>
      <c r="I151" s="5">
        <v>23467</v>
      </c>
      <c r="J151" s="5">
        <v>537</v>
      </c>
      <c r="K151" s="2">
        <v>229784</v>
      </c>
      <c r="L151" s="3">
        <v>2.60000006647633E-3</v>
      </c>
      <c r="M151" s="3">
        <v>2.2883197681851101E-2</v>
      </c>
      <c r="N151" s="7">
        <v>23.700199999999999</v>
      </c>
      <c r="O151" s="7">
        <v>1035.702</v>
      </c>
      <c r="P151" s="4">
        <v>-0.58684723430881103</v>
      </c>
      <c r="Q151" s="8">
        <v>-326388</v>
      </c>
    </row>
    <row r="152" spans="1:17" x14ac:dyDescent="0.3">
      <c r="A152" t="s">
        <v>317</v>
      </c>
      <c r="B152" t="s">
        <v>318</v>
      </c>
      <c r="C152" t="s">
        <v>25</v>
      </c>
      <c r="D152" s="1">
        <v>45805</v>
      </c>
      <c r="E152" s="1">
        <v>45810</v>
      </c>
      <c r="F152" s="5">
        <v>5</v>
      </c>
      <c r="G152" s="2">
        <v>113751</v>
      </c>
      <c r="H152" s="5">
        <v>215138</v>
      </c>
      <c r="I152" s="5">
        <v>10843</v>
      </c>
      <c r="J152" s="5">
        <v>930</v>
      </c>
      <c r="K152" s="2">
        <v>4173911</v>
      </c>
      <c r="L152" s="3">
        <v>5.0400208238432997E-2</v>
      </c>
      <c r="M152" s="3">
        <v>8.5769620953610598E-2</v>
      </c>
      <c r="N152" s="7">
        <v>10.4907</v>
      </c>
      <c r="O152" s="7">
        <v>122.3129</v>
      </c>
      <c r="P152" s="4">
        <v>35.693400497577997</v>
      </c>
      <c r="Q152" s="8">
        <v>4060160</v>
      </c>
    </row>
    <row r="153" spans="1:17" x14ac:dyDescent="0.3">
      <c r="A153" t="s">
        <v>319</v>
      </c>
      <c r="B153" t="s">
        <v>320</v>
      </c>
      <c r="C153" t="s">
        <v>39</v>
      </c>
      <c r="D153" s="1">
        <v>45835</v>
      </c>
      <c r="E153" s="1">
        <v>45880</v>
      </c>
      <c r="F153" s="5">
        <v>45</v>
      </c>
      <c r="G153" s="2">
        <v>710524</v>
      </c>
      <c r="H153" s="5">
        <v>10915263</v>
      </c>
      <c r="I153" s="5">
        <v>41478</v>
      </c>
      <c r="J153" s="5">
        <v>1074</v>
      </c>
      <c r="K153" s="2">
        <v>1528388</v>
      </c>
      <c r="L153" s="3">
        <v>3.8000000549689001E-3</v>
      </c>
      <c r="M153" s="3">
        <v>2.58932446116013E-2</v>
      </c>
      <c r="N153" s="7">
        <v>17.130099999999999</v>
      </c>
      <c r="O153" s="7">
        <v>661.56799999999998</v>
      </c>
      <c r="P153" s="4">
        <v>1.15107160349263</v>
      </c>
      <c r="Q153" s="8">
        <v>817864</v>
      </c>
    </row>
    <row r="154" spans="1:17" x14ac:dyDescent="0.3">
      <c r="A154" t="s">
        <v>321</v>
      </c>
      <c r="B154" t="s">
        <v>322</v>
      </c>
      <c r="C154" t="s">
        <v>25</v>
      </c>
      <c r="D154" s="1">
        <v>45763</v>
      </c>
      <c r="E154" s="1">
        <v>45808</v>
      </c>
      <c r="F154" s="5">
        <v>45</v>
      </c>
      <c r="G154" s="2">
        <v>173554</v>
      </c>
      <c r="H154" s="5">
        <v>983793</v>
      </c>
      <c r="I154" s="5">
        <v>19971</v>
      </c>
      <c r="J154" s="5">
        <v>1413</v>
      </c>
      <c r="K154" s="2">
        <v>4341443</v>
      </c>
      <c r="L154" s="3">
        <v>2.0300002134595398E-2</v>
      </c>
      <c r="M154" s="3">
        <v>7.0752591257323097E-2</v>
      </c>
      <c r="N154" s="7">
        <v>8.6903000000000006</v>
      </c>
      <c r="O154" s="7">
        <v>122.8266</v>
      </c>
      <c r="P154" s="4">
        <v>24.0149405948581</v>
      </c>
      <c r="Q154" s="8">
        <v>4167889</v>
      </c>
    </row>
    <row r="155" spans="1:17" x14ac:dyDescent="0.3">
      <c r="A155" t="s">
        <v>323</v>
      </c>
      <c r="B155" t="s">
        <v>324</v>
      </c>
      <c r="C155" t="s">
        <v>22</v>
      </c>
      <c r="D155" s="1">
        <v>45790</v>
      </c>
      <c r="E155" s="1">
        <v>45850</v>
      </c>
      <c r="F155" s="5">
        <v>60</v>
      </c>
      <c r="G155" s="2">
        <v>59612</v>
      </c>
      <c r="H155" s="5">
        <v>556235</v>
      </c>
      <c r="I155" s="5">
        <v>23195</v>
      </c>
      <c r="J155" s="5">
        <v>1653</v>
      </c>
      <c r="K155" s="2">
        <v>1677006</v>
      </c>
      <c r="L155" s="3">
        <v>4.1700000898900601E-2</v>
      </c>
      <c r="M155" s="3">
        <v>7.1265358913558993E-2</v>
      </c>
      <c r="N155" s="7">
        <v>2.57</v>
      </c>
      <c r="O155" s="7">
        <v>36.062899999999999</v>
      </c>
      <c r="P155" s="4">
        <v>27.132020398577499</v>
      </c>
      <c r="Q155" s="8">
        <v>1617394</v>
      </c>
    </row>
    <row r="156" spans="1:17" x14ac:dyDescent="0.3">
      <c r="A156" t="s">
        <v>325</v>
      </c>
      <c r="B156" t="s">
        <v>326</v>
      </c>
      <c r="C156" t="s">
        <v>22</v>
      </c>
      <c r="D156" s="1">
        <v>45734</v>
      </c>
      <c r="E156" s="1">
        <v>45794</v>
      </c>
      <c r="F156" s="5">
        <v>60</v>
      </c>
      <c r="G156" s="2">
        <v>21141</v>
      </c>
      <c r="H156" s="5">
        <v>312320</v>
      </c>
      <c r="I156" s="5">
        <v>18708</v>
      </c>
      <c r="J156" s="5">
        <v>1051</v>
      </c>
      <c r="K156" s="2">
        <v>1407862</v>
      </c>
      <c r="L156" s="3">
        <v>5.9900102459016398E-2</v>
      </c>
      <c r="M156" s="3">
        <v>5.6179174684626902E-2</v>
      </c>
      <c r="N156" s="7">
        <v>1.1301000000000001</v>
      </c>
      <c r="O156" s="7">
        <v>20.115100000000002</v>
      </c>
      <c r="P156" s="4">
        <v>65.593917033252893</v>
      </c>
      <c r="Q156" s="8">
        <v>1386721</v>
      </c>
    </row>
    <row r="157" spans="1:17" x14ac:dyDescent="0.3">
      <c r="A157" t="s">
        <v>327</v>
      </c>
      <c r="B157" t="s">
        <v>328</v>
      </c>
      <c r="C157" t="s">
        <v>22</v>
      </c>
      <c r="D157" s="1">
        <v>45834</v>
      </c>
      <c r="E157" s="1">
        <v>45839</v>
      </c>
      <c r="F157" s="5">
        <v>5</v>
      </c>
      <c r="G157" s="2">
        <v>23385</v>
      </c>
      <c r="H157" s="5">
        <v>355408</v>
      </c>
      <c r="I157" s="5">
        <v>9134</v>
      </c>
      <c r="J157" s="5">
        <v>295</v>
      </c>
      <c r="K157" s="2">
        <v>1461424</v>
      </c>
      <c r="L157" s="3">
        <v>2.5700040516814501E-2</v>
      </c>
      <c r="M157" s="3">
        <v>3.22969126341143E-2</v>
      </c>
      <c r="N157" s="7">
        <v>2.5602</v>
      </c>
      <c r="O157" s="7">
        <v>79.271199999999993</v>
      </c>
      <c r="P157" s="4">
        <v>61.494077400042798</v>
      </c>
      <c r="Q157" s="8">
        <v>1438039</v>
      </c>
    </row>
    <row r="158" spans="1:17" x14ac:dyDescent="0.3">
      <c r="A158" t="s">
        <v>329</v>
      </c>
      <c r="B158" t="s">
        <v>330</v>
      </c>
      <c r="C158" t="s">
        <v>22</v>
      </c>
      <c r="D158" s="1">
        <v>45961</v>
      </c>
      <c r="E158" s="1">
        <v>46006</v>
      </c>
      <c r="F158" s="5">
        <v>45</v>
      </c>
      <c r="G158" s="2">
        <v>58662</v>
      </c>
      <c r="H158" s="5">
        <v>700270</v>
      </c>
      <c r="I158" s="5">
        <v>20728</v>
      </c>
      <c r="J158" s="5">
        <v>1846</v>
      </c>
      <c r="K158" s="2">
        <v>4228666</v>
      </c>
      <c r="L158" s="3">
        <v>2.9600011424165001E-2</v>
      </c>
      <c r="M158" s="3">
        <v>8.90582786568892E-2</v>
      </c>
      <c r="N158" s="7">
        <v>2.8300999999999998</v>
      </c>
      <c r="O158" s="7">
        <v>31.777899999999999</v>
      </c>
      <c r="P158" s="4">
        <v>71.085268146329796</v>
      </c>
      <c r="Q158" s="8">
        <v>4170004</v>
      </c>
    </row>
    <row r="159" spans="1:17" x14ac:dyDescent="0.3">
      <c r="A159" t="s">
        <v>331</v>
      </c>
      <c r="B159" t="s">
        <v>332</v>
      </c>
      <c r="C159" t="s">
        <v>30</v>
      </c>
      <c r="D159" s="1">
        <v>45847</v>
      </c>
      <c r="E159" s="1">
        <v>45907</v>
      </c>
      <c r="F159" s="5">
        <v>60</v>
      </c>
      <c r="G159" s="2">
        <v>209961</v>
      </c>
      <c r="H159" s="5">
        <v>841336</v>
      </c>
      <c r="I159" s="5">
        <v>36514</v>
      </c>
      <c r="J159" s="5">
        <v>2723</v>
      </c>
      <c r="K159" s="2">
        <v>3595257</v>
      </c>
      <c r="L159" s="3">
        <v>4.3400020919109598E-2</v>
      </c>
      <c r="M159" s="3">
        <v>7.4574135947855599E-2</v>
      </c>
      <c r="N159" s="7">
        <v>5.7502000000000004</v>
      </c>
      <c r="O159" s="7">
        <v>77.106499999999997</v>
      </c>
      <c r="P159" s="4">
        <v>16.123451498135399</v>
      </c>
      <c r="Q159" s="8">
        <v>3385296</v>
      </c>
    </row>
    <row r="160" spans="1:17" x14ac:dyDescent="0.3">
      <c r="A160" t="s">
        <v>18</v>
      </c>
      <c r="B160" t="s">
        <v>19</v>
      </c>
      <c r="C160" t="s">
        <v>15</v>
      </c>
      <c r="D160" s="1">
        <v>45821</v>
      </c>
      <c r="E160" s="1">
        <v>45836</v>
      </c>
      <c r="F160" s="5">
        <v>15</v>
      </c>
      <c r="G160" s="2">
        <v>741896</v>
      </c>
      <c r="H160" s="5">
        <v>63257500</v>
      </c>
      <c r="I160" s="5">
        <v>50606</v>
      </c>
      <c r="J160" s="5">
        <v>1184</v>
      </c>
      <c r="K160" s="2">
        <v>1622218</v>
      </c>
      <c r="L160" s="3">
        <v>8.0000000000000004E-4</v>
      </c>
      <c r="M160" s="3">
        <v>2.3396435205311601E-2</v>
      </c>
      <c r="N160" s="7">
        <v>14.6602</v>
      </c>
      <c r="O160" s="7">
        <v>626.60140000000001</v>
      </c>
      <c r="P160" s="4">
        <v>1.1865841034322899</v>
      </c>
      <c r="Q160" s="8">
        <v>880322</v>
      </c>
    </row>
    <row r="161" spans="1:17" x14ac:dyDescent="0.3">
      <c r="A161" t="s">
        <v>333</v>
      </c>
      <c r="B161" t="s">
        <v>334</v>
      </c>
      <c r="C161" t="s">
        <v>15</v>
      </c>
      <c r="D161" s="1">
        <v>45746</v>
      </c>
      <c r="E161" s="1">
        <v>45760</v>
      </c>
      <c r="F161" s="5">
        <v>14</v>
      </c>
      <c r="G161" s="2">
        <v>190508</v>
      </c>
      <c r="H161" s="5">
        <v>1738684</v>
      </c>
      <c r="I161" s="5">
        <v>6607</v>
      </c>
      <c r="J161" s="5">
        <v>40</v>
      </c>
      <c r="K161" s="2">
        <v>108064</v>
      </c>
      <c r="L161" s="3">
        <v>3.8000004601181098E-3</v>
      </c>
      <c r="M161" s="3">
        <v>6.0541849553503897E-3</v>
      </c>
      <c r="N161" s="7">
        <v>28.834299999999999</v>
      </c>
      <c r="O161" s="7">
        <v>4762.7</v>
      </c>
      <c r="P161" s="4">
        <v>-0.43275872929220799</v>
      </c>
      <c r="Q161" s="8">
        <v>-82444</v>
      </c>
    </row>
    <row r="162" spans="1:17" x14ac:dyDescent="0.3">
      <c r="A162" t="s">
        <v>335</v>
      </c>
      <c r="B162" t="s">
        <v>336</v>
      </c>
      <c r="C162" t="s">
        <v>39</v>
      </c>
      <c r="D162" s="1">
        <v>45686</v>
      </c>
      <c r="E162" s="1">
        <v>45731</v>
      </c>
      <c r="F162" s="5">
        <v>45</v>
      </c>
      <c r="G162" s="2">
        <v>255965</v>
      </c>
      <c r="H162" s="5">
        <v>2863750</v>
      </c>
      <c r="I162" s="5">
        <v>13746</v>
      </c>
      <c r="J162" s="5">
        <v>395</v>
      </c>
      <c r="K162" s="2">
        <v>1407108</v>
      </c>
      <c r="L162" s="3">
        <v>4.7999999999999996E-3</v>
      </c>
      <c r="M162" s="3">
        <v>2.8735632183908E-2</v>
      </c>
      <c r="N162" s="7">
        <v>18.621099999999998</v>
      </c>
      <c r="O162" s="7">
        <v>648.0127</v>
      </c>
      <c r="P162" s="4">
        <v>4.4972672045006199</v>
      </c>
      <c r="Q162" s="8">
        <v>1151143</v>
      </c>
    </row>
    <row r="163" spans="1:17" x14ac:dyDescent="0.3">
      <c r="A163" t="s">
        <v>337</v>
      </c>
      <c r="B163" t="s">
        <v>338</v>
      </c>
      <c r="C163" t="s">
        <v>25</v>
      </c>
      <c r="D163" s="1">
        <v>45823</v>
      </c>
      <c r="E163" s="1">
        <v>45868</v>
      </c>
      <c r="F163" s="5">
        <v>45</v>
      </c>
      <c r="G163" s="2">
        <v>234871</v>
      </c>
      <c r="H163" s="5">
        <v>1594938</v>
      </c>
      <c r="I163" s="5">
        <v>38757</v>
      </c>
      <c r="J163" s="5">
        <v>3042</v>
      </c>
      <c r="K163" s="2">
        <v>6242849</v>
      </c>
      <c r="L163" s="3">
        <v>2.4300004138091899E-2</v>
      </c>
      <c r="M163" s="3">
        <v>7.8489047139871496E-2</v>
      </c>
      <c r="N163" s="7">
        <v>6.0601000000000003</v>
      </c>
      <c r="O163" s="7">
        <v>77.209400000000002</v>
      </c>
      <c r="P163" s="4">
        <v>25.5799055651826</v>
      </c>
      <c r="Q163" s="8">
        <v>6007978</v>
      </c>
    </row>
    <row r="164" spans="1:17" x14ac:dyDescent="0.3">
      <c r="A164" t="s">
        <v>339</v>
      </c>
      <c r="B164" t="s">
        <v>340</v>
      </c>
      <c r="C164" t="s">
        <v>39</v>
      </c>
      <c r="D164" s="1">
        <v>45770</v>
      </c>
      <c r="E164" s="1">
        <v>45780</v>
      </c>
      <c r="F164" s="5">
        <v>10</v>
      </c>
      <c r="G164" s="2">
        <v>231565</v>
      </c>
      <c r="H164" s="5">
        <v>1139245</v>
      </c>
      <c r="I164" s="5">
        <v>6038</v>
      </c>
      <c r="J164" s="5">
        <v>167</v>
      </c>
      <c r="K164" s="2">
        <v>187670</v>
      </c>
      <c r="L164" s="3">
        <v>5.30000131666147E-3</v>
      </c>
      <c r="M164" s="3">
        <v>2.7658164955283199E-2</v>
      </c>
      <c r="N164" s="7">
        <v>38.351300000000002</v>
      </c>
      <c r="O164" s="7">
        <v>1386.6168</v>
      </c>
      <c r="P164" s="4">
        <v>-0.18955800747090401</v>
      </c>
      <c r="Q164" s="8">
        <v>-43895</v>
      </c>
    </row>
    <row r="165" spans="1:17" x14ac:dyDescent="0.3">
      <c r="A165" t="s">
        <v>341</v>
      </c>
      <c r="B165" t="s">
        <v>342</v>
      </c>
      <c r="C165" t="s">
        <v>22</v>
      </c>
      <c r="D165" s="1">
        <v>45823</v>
      </c>
      <c r="E165" s="1">
        <v>45844</v>
      </c>
      <c r="F165" s="5">
        <v>21</v>
      </c>
      <c r="G165" s="2">
        <v>58940</v>
      </c>
      <c r="H165" s="5">
        <v>1195517</v>
      </c>
      <c r="I165" s="5">
        <v>34670</v>
      </c>
      <c r="J165" s="5">
        <v>1927</v>
      </c>
      <c r="K165" s="2">
        <v>2781697</v>
      </c>
      <c r="L165" s="3">
        <v>2.90000058552074E-2</v>
      </c>
      <c r="M165" s="3">
        <v>5.5581194115950402E-2</v>
      </c>
      <c r="N165" s="7">
        <v>1.7</v>
      </c>
      <c r="O165" s="7">
        <v>30.586400000000001</v>
      </c>
      <c r="P165" s="4">
        <v>46.195402103834397</v>
      </c>
      <c r="Q165" s="8">
        <v>2722757</v>
      </c>
    </row>
    <row r="166" spans="1:17" x14ac:dyDescent="0.3">
      <c r="A166" t="s">
        <v>343</v>
      </c>
      <c r="B166" t="s">
        <v>344</v>
      </c>
      <c r="C166" t="s">
        <v>39</v>
      </c>
      <c r="D166" s="1">
        <v>45872</v>
      </c>
      <c r="E166" s="1">
        <v>45887</v>
      </c>
      <c r="F166" s="5">
        <v>15</v>
      </c>
      <c r="G166" s="2">
        <v>581784</v>
      </c>
      <c r="H166" s="5">
        <v>24982727</v>
      </c>
      <c r="I166" s="5">
        <v>27481</v>
      </c>
      <c r="J166" s="5">
        <v>588</v>
      </c>
      <c r="K166" s="2">
        <v>330239</v>
      </c>
      <c r="L166" s="3">
        <v>1.1000000120083E-3</v>
      </c>
      <c r="M166" s="3">
        <v>2.13966012881627E-2</v>
      </c>
      <c r="N166" s="7">
        <v>21.170400000000001</v>
      </c>
      <c r="O166" s="7">
        <v>989.42859999999996</v>
      </c>
      <c r="P166" s="4">
        <v>-0.43236837039176002</v>
      </c>
      <c r="Q166" s="8">
        <v>-251545</v>
      </c>
    </row>
    <row r="167" spans="1:17" x14ac:dyDescent="0.3">
      <c r="A167" t="s">
        <v>345</v>
      </c>
      <c r="B167" t="s">
        <v>346</v>
      </c>
      <c r="C167" t="s">
        <v>15</v>
      </c>
      <c r="D167" s="1">
        <v>45736</v>
      </c>
      <c r="E167" s="1">
        <v>45743</v>
      </c>
      <c r="F167" s="5">
        <v>7</v>
      </c>
      <c r="G167" s="2">
        <v>688399</v>
      </c>
      <c r="H167" s="5">
        <v>17165277</v>
      </c>
      <c r="I167" s="5">
        <v>61795</v>
      </c>
      <c r="J167" s="5">
        <v>1137</v>
      </c>
      <c r="K167" s="2">
        <v>1011691</v>
      </c>
      <c r="L167" s="3">
        <v>3.60000016312E-3</v>
      </c>
      <c r="M167" s="3">
        <v>1.8399546888906899E-2</v>
      </c>
      <c r="N167" s="7">
        <v>11.14</v>
      </c>
      <c r="O167" s="7">
        <v>605.45209999999997</v>
      </c>
      <c r="P167" s="4">
        <v>0.46962880538757301</v>
      </c>
      <c r="Q167" s="8">
        <v>323292</v>
      </c>
    </row>
    <row r="168" spans="1:17" x14ac:dyDescent="0.3">
      <c r="A168" t="s">
        <v>347</v>
      </c>
      <c r="B168" t="s">
        <v>348</v>
      </c>
      <c r="C168" t="s">
        <v>39</v>
      </c>
      <c r="D168" s="1">
        <v>45879</v>
      </c>
      <c r="E168" s="1">
        <v>45900</v>
      </c>
      <c r="F168" s="5">
        <v>21</v>
      </c>
      <c r="G168" s="2">
        <v>424226</v>
      </c>
      <c r="H168" s="5">
        <v>1896071</v>
      </c>
      <c r="I168" s="5">
        <v>10618</v>
      </c>
      <c r="J168" s="5">
        <v>127</v>
      </c>
      <c r="K168" s="2">
        <v>102814</v>
      </c>
      <c r="L168" s="3">
        <v>5.6000012657753803E-3</v>
      </c>
      <c r="M168" s="3">
        <v>1.19608212469392E-2</v>
      </c>
      <c r="N168" s="7">
        <v>39.953499999999998</v>
      </c>
      <c r="O168" s="7">
        <v>3340.3622</v>
      </c>
      <c r="P168" s="4">
        <v>-0.75764333162040998</v>
      </c>
      <c r="Q168" s="8">
        <v>-321412</v>
      </c>
    </row>
    <row r="169" spans="1:17" x14ac:dyDescent="0.3">
      <c r="A169" t="s">
        <v>349</v>
      </c>
      <c r="B169" t="s">
        <v>350</v>
      </c>
      <c r="C169" t="s">
        <v>15</v>
      </c>
      <c r="D169" s="1">
        <v>45884</v>
      </c>
      <c r="E169" s="1">
        <v>45889</v>
      </c>
      <c r="F169" s="5">
        <v>5</v>
      </c>
      <c r="G169" s="2">
        <v>682458</v>
      </c>
      <c r="H169" s="5">
        <v>40574000</v>
      </c>
      <c r="I169" s="5">
        <v>40574</v>
      </c>
      <c r="J169" s="5">
        <v>202</v>
      </c>
      <c r="K169" s="2">
        <v>236344</v>
      </c>
      <c r="L169" s="3">
        <v>1E-3</v>
      </c>
      <c r="M169" s="3">
        <v>4.9785576970473701E-3</v>
      </c>
      <c r="N169" s="7">
        <v>16.8201</v>
      </c>
      <c r="O169" s="7">
        <v>3378.5050000000001</v>
      </c>
      <c r="P169" s="4">
        <v>-0.65368711334616902</v>
      </c>
      <c r="Q169" s="8">
        <v>-446114</v>
      </c>
    </row>
    <row r="170" spans="1:17" x14ac:dyDescent="0.3">
      <c r="A170" t="s">
        <v>351</v>
      </c>
      <c r="B170" t="s">
        <v>352</v>
      </c>
      <c r="C170" t="s">
        <v>30</v>
      </c>
      <c r="D170" s="1">
        <v>45728</v>
      </c>
      <c r="E170" s="1">
        <v>45738</v>
      </c>
      <c r="F170" s="5">
        <v>10</v>
      </c>
      <c r="G170" s="2">
        <v>246084</v>
      </c>
      <c r="H170" s="5">
        <v>1583044</v>
      </c>
      <c r="I170" s="5">
        <v>60314</v>
      </c>
      <c r="J170" s="5">
        <v>3781</v>
      </c>
      <c r="K170" s="2">
        <v>7294223</v>
      </c>
      <c r="L170" s="3">
        <v>3.8100014907987402E-2</v>
      </c>
      <c r="M170" s="3">
        <v>6.2688596345790396E-2</v>
      </c>
      <c r="N170" s="7">
        <v>4.08</v>
      </c>
      <c r="O170" s="7">
        <v>65.084400000000002</v>
      </c>
      <c r="P170" s="4">
        <v>28.641191625623801</v>
      </c>
      <c r="Q170" s="8">
        <v>7048139</v>
      </c>
    </row>
    <row r="171" spans="1:17" x14ac:dyDescent="0.3">
      <c r="A171" t="s">
        <v>353</v>
      </c>
      <c r="B171" t="s">
        <v>354</v>
      </c>
      <c r="C171" t="s">
        <v>22</v>
      </c>
      <c r="D171" s="1">
        <v>45747</v>
      </c>
      <c r="E171" s="1">
        <v>45762</v>
      </c>
      <c r="F171" s="5">
        <v>15</v>
      </c>
      <c r="G171" s="2">
        <v>18502</v>
      </c>
      <c r="H171" s="5">
        <v>271095</v>
      </c>
      <c r="I171" s="5">
        <v>13121</v>
      </c>
      <c r="J171" s="5">
        <v>970</v>
      </c>
      <c r="K171" s="2">
        <v>2311499</v>
      </c>
      <c r="L171" s="3">
        <v>4.8400007377487599E-2</v>
      </c>
      <c r="M171" s="3">
        <v>7.39272921271244E-2</v>
      </c>
      <c r="N171" s="7">
        <v>1.4100999999999999</v>
      </c>
      <c r="O171" s="7">
        <v>19.074200000000001</v>
      </c>
      <c r="P171" s="4">
        <v>123.932385688034</v>
      </c>
      <c r="Q171" s="8">
        <v>2292997</v>
      </c>
    </row>
    <row r="172" spans="1:17" x14ac:dyDescent="0.3">
      <c r="A172" t="s">
        <v>355</v>
      </c>
      <c r="B172" t="s">
        <v>356</v>
      </c>
      <c r="C172" t="s">
        <v>39</v>
      </c>
      <c r="D172" s="1">
        <v>45923</v>
      </c>
      <c r="E172" s="1">
        <v>45928</v>
      </c>
      <c r="F172" s="5">
        <v>5</v>
      </c>
      <c r="G172" s="2">
        <v>514528</v>
      </c>
      <c r="H172" s="5">
        <v>4232115</v>
      </c>
      <c r="I172" s="5">
        <v>22007</v>
      </c>
      <c r="J172" s="5">
        <v>600</v>
      </c>
      <c r="K172" s="2">
        <v>579635</v>
      </c>
      <c r="L172" s="3">
        <v>5.2000004725769504E-3</v>
      </c>
      <c r="M172" s="3">
        <v>2.72640523469805E-2</v>
      </c>
      <c r="N172" s="7">
        <v>23.380199999999999</v>
      </c>
      <c r="O172" s="7">
        <v>857.54669999999999</v>
      </c>
      <c r="P172" s="4">
        <v>0.126537331301698</v>
      </c>
      <c r="Q172" s="8">
        <v>65107</v>
      </c>
    </row>
    <row r="173" spans="1:17" x14ac:dyDescent="0.3">
      <c r="A173" t="s">
        <v>357</v>
      </c>
      <c r="B173" t="s">
        <v>358</v>
      </c>
      <c r="C173" t="s">
        <v>30</v>
      </c>
      <c r="D173" s="1">
        <v>45676</v>
      </c>
      <c r="E173" s="1">
        <v>45697</v>
      </c>
      <c r="F173" s="5">
        <v>21</v>
      </c>
      <c r="G173" s="2">
        <v>67857</v>
      </c>
      <c r="H173" s="5">
        <v>292267</v>
      </c>
      <c r="I173" s="5">
        <v>9411</v>
      </c>
      <c r="J173" s="5">
        <v>672</v>
      </c>
      <c r="K173" s="2">
        <v>1847560</v>
      </c>
      <c r="L173" s="3">
        <v>3.2200008895975303E-2</v>
      </c>
      <c r="M173" s="3">
        <v>7.1405801721389897E-2</v>
      </c>
      <c r="N173" s="7">
        <v>7.2103999999999999</v>
      </c>
      <c r="O173" s="7">
        <v>100.9777</v>
      </c>
      <c r="P173" s="4">
        <v>26.2272573205417</v>
      </c>
      <c r="Q173" s="8">
        <v>1779703</v>
      </c>
    </row>
    <row r="174" spans="1:17" x14ac:dyDescent="0.3">
      <c r="A174" t="s">
        <v>359</v>
      </c>
      <c r="B174" t="s">
        <v>360</v>
      </c>
      <c r="C174" t="s">
        <v>30</v>
      </c>
      <c r="D174" s="1">
        <v>45822</v>
      </c>
      <c r="E174" s="1">
        <v>45836</v>
      </c>
      <c r="F174" s="5">
        <v>14</v>
      </c>
      <c r="G174" s="2">
        <v>229242</v>
      </c>
      <c r="H174" s="5">
        <v>1194393</v>
      </c>
      <c r="I174" s="5">
        <v>31532</v>
      </c>
      <c r="J174" s="5">
        <v>2052</v>
      </c>
      <c r="K174" s="2">
        <v>954046</v>
      </c>
      <c r="L174" s="3">
        <v>2.6400020763685E-2</v>
      </c>
      <c r="M174" s="3">
        <v>6.5076747431180998E-2</v>
      </c>
      <c r="N174" s="7">
        <v>7.2701000000000002</v>
      </c>
      <c r="O174" s="7">
        <v>111.71639999999999</v>
      </c>
      <c r="P174" s="4">
        <v>3.1617417401697798</v>
      </c>
      <c r="Q174" s="8">
        <v>724804</v>
      </c>
    </row>
    <row r="175" spans="1:17" x14ac:dyDescent="0.3">
      <c r="A175" t="s">
        <v>361</v>
      </c>
      <c r="B175" t="s">
        <v>362</v>
      </c>
      <c r="C175" t="s">
        <v>25</v>
      </c>
      <c r="D175" s="1">
        <v>45726</v>
      </c>
      <c r="E175" s="1">
        <v>45786</v>
      </c>
      <c r="F175" s="5">
        <v>60</v>
      </c>
      <c r="G175" s="2">
        <v>50846</v>
      </c>
      <c r="H175" s="5">
        <v>369913</v>
      </c>
      <c r="I175" s="5">
        <v>8545</v>
      </c>
      <c r="J175" s="5">
        <v>764</v>
      </c>
      <c r="K175" s="2">
        <v>1001005</v>
      </c>
      <c r="L175" s="3">
        <v>2.3100026222382001E-2</v>
      </c>
      <c r="M175" s="3">
        <v>8.9409011117612597E-2</v>
      </c>
      <c r="N175" s="7">
        <v>5.9504000000000001</v>
      </c>
      <c r="O175" s="7">
        <v>66.552400000000006</v>
      </c>
      <c r="P175" s="4">
        <v>18.686996027219401</v>
      </c>
      <c r="Q175" s="8">
        <v>950159</v>
      </c>
    </row>
    <row r="176" spans="1:17" x14ac:dyDescent="0.3">
      <c r="A176" t="s">
        <v>363</v>
      </c>
      <c r="B176" t="s">
        <v>310</v>
      </c>
      <c r="C176" t="s">
        <v>15</v>
      </c>
      <c r="D176" s="1">
        <v>45791</v>
      </c>
      <c r="E176" s="1">
        <v>45805</v>
      </c>
      <c r="F176" s="5">
        <v>14</v>
      </c>
      <c r="G176" s="2">
        <v>168546</v>
      </c>
      <c r="H176" s="5">
        <v>2333333</v>
      </c>
      <c r="I176" s="5">
        <v>6300</v>
      </c>
      <c r="J176" s="5">
        <v>90</v>
      </c>
      <c r="K176" s="2">
        <v>71259</v>
      </c>
      <c r="L176" s="3">
        <v>2.70000038571434E-3</v>
      </c>
      <c r="M176" s="3">
        <v>1.4285714285714299E-2</v>
      </c>
      <c r="N176" s="7">
        <v>26.753299999999999</v>
      </c>
      <c r="O176" s="7">
        <v>1872.7333000000001</v>
      </c>
      <c r="P176" s="4">
        <v>-0.57721334235164301</v>
      </c>
      <c r="Q176" s="8">
        <v>-97287</v>
      </c>
    </row>
    <row r="177" spans="1:17" x14ac:dyDescent="0.3">
      <c r="A177" t="s">
        <v>364</v>
      </c>
      <c r="B177" t="s">
        <v>365</v>
      </c>
      <c r="C177" t="s">
        <v>30</v>
      </c>
      <c r="D177" s="1">
        <v>45957</v>
      </c>
      <c r="E177" s="1">
        <v>46002</v>
      </c>
      <c r="F177" s="5">
        <v>45</v>
      </c>
      <c r="G177" s="2">
        <v>156270</v>
      </c>
      <c r="H177" s="5">
        <v>1128032</v>
      </c>
      <c r="I177" s="5">
        <v>20643</v>
      </c>
      <c r="J177" s="5">
        <v>563</v>
      </c>
      <c r="K177" s="2">
        <v>817420</v>
      </c>
      <c r="L177" s="3">
        <v>1.83000127655953E-2</v>
      </c>
      <c r="M177" s="3">
        <v>2.7273167659739399E-2</v>
      </c>
      <c r="N177" s="7">
        <v>7.5701000000000001</v>
      </c>
      <c r="O177" s="7">
        <v>277.56659999999999</v>
      </c>
      <c r="P177" s="4">
        <v>4.2308184552377304</v>
      </c>
      <c r="Q177" s="8">
        <v>661150</v>
      </c>
    </row>
    <row r="178" spans="1:17" x14ac:dyDescent="0.3">
      <c r="A178" t="s">
        <v>366</v>
      </c>
      <c r="B178" t="s">
        <v>367</v>
      </c>
      <c r="C178" t="s">
        <v>25</v>
      </c>
      <c r="D178" s="1">
        <v>45667</v>
      </c>
      <c r="E178" s="1">
        <v>45677</v>
      </c>
      <c r="F178" s="5">
        <v>10</v>
      </c>
      <c r="G178" s="2">
        <v>243814</v>
      </c>
      <c r="H178" s="5">
        <v>624205</v>
      </c>
      <c r="I178" s="5">
        <v>25530</v>
      </c>
      <c r="J178" s="5">
        <v>2251</v>
      </c>
      <c r="K178" s="2">
        <v>2209613</v>
      </c>
      <c r="L178" s="3">
        <v>4.09000248315858E-2</v>
      </c>
      <c r="M178" s="3">
        <v>8.8170779475127303E-2</v>
      </c>
      <c r="N178" s="7">
        <v>9.5501000000000005</v>
      </c>
      <c r="O178" s="7">
        <v>108.31359999999999</v>
      </c>
      <c r="P178" s="4">
        <v>8.0626994348150607</v>
      </c>
      <c r="Q178" s="8">
        <v>1965799</v>
      </c>
    </row>
    <row r="179" spans="1:17" x14ac:dyDescent="0.3">
      <c r="A179" t="s">
        <v>368</v>
      </c>
      <c r="B179" t="s">
        <v>369</v>
      </c>
      <c r="C179" t="s">
        <v>30</v>
      </c>
      <c r="D179" s="1">
        <v>45881</v>
      </c>
      <c r="E179" s="1">
        <v>45902</v>
      </c>
      <c r="F179" s="5">
        <v>21</v>
      </c>
      <c r="G179" s="2">
        <v>245994</v>
      </c>
      <c r="H179" s="5">
        <v>707672</v>
      </c>
      <c r="I179" s="5">
        <v>27670</v>
      </c>
      <c r="J179" s="5">
        <v>2069</v>
      </c>
      <c r="K179" s="2">
        <v>4433582</v>
      </c>
      <c r="L179" s="3">
        <v>3.9100035044483901E-2</v>
      </c>
      <c r="M179" s="3">
        <v>7.4774123599566297E-2</v>
      </c>
      <c r="N179" s="7">
        <v>8.8902999999999999</v>
      </c>
      <c r="O179" s="7">
        <v>118.8951</v>
      </c>
      <c r="P179" s="4">
        <v>17.023130645462899</v>
      </c>
      <c r="Q179" s="8">
        <v>4187588</v>
      </c>
    </row>
    <row r="180" spans="1:17" x14ac:dyDescent="0.3">
      <c r="A180" t="s">
        <v>370</v>
      </c>
      <c r="B180" t="s">
        <v>371</v>
      </c>
      <c r="C180" t="s">
        <v>39</v>
      </c>
      <c r="D180" s="1">
        <v>45844</v>
      </c>
      <c r="E180" s="1">
        <v>45849</v>
      </c>
      <c r="F180" s="5">
        <v>5</v>
      </c>
      <c r="G180" s="2">
        <v>264321</v>
      </c>
      <c r="H180" s="5">
        <v>7191538</v>
      </c>
      <c r="I180" s="5">
        <v>9349</v>
      </c>
      <c r="J180" s="5">
        <v>174</v>
      </c>
      <c r="K180" s="2">
        <v>444734</v>
      </c>
      <c r="L180" s="3">
        <v>1.30000008343139E-3</v>
      </c>
      <c r="M180" s="3">
        <v>1.8611616215638001E-2</v>
      </c>
      <c r="N180" s="7">
        <v>28.272600000000001</v>
      </c>
      <c r="O180" s="7">
        <v>1519.0862</v>
      </c>
      <c r="P180" s="4">
        <v>0.68255265378081997</v>
      </c>
      <c r="Q180" s="8">
        <v>180413</v>
      </c>
    </row>
    <row r="181" spans="1:17" x14ac:dyDescent="0.3">
      <c r="A181" t="s">
        <v>372</v>
      </c>
      <c r="B181" t="s">
        <v>373</v>
      </c>
      <c r="C181" t="s">
        <v>39</v>
      </c>
      <c r="D181" s="1">
        <v>45681</v>
      </c>
      <c r="E181" s="1">
        <v>45726</v>
      </c>
      <c r="F181" s="5">
        <v>45</v>
      </c>
      <c r="G181" s="2">
        <v>192222</v>
      </c>
      <c r="H181" s="5">
        <v>2885476</v>
      </c>
      <c r="I181" s="5">
        <v>12119</v>
      </c>
      <c r="J181" s="5">
        <v>185</v>
      </c>
      <c r="K181" s="2">
        <v>579591</v>
      </c>
      <c r="L181" s="3">
        <v>4.2000002772506198E-3</v>
      </c>
      <c r="M181" s="3">
        <v>1.52652859146794E-2</v>
      </c>
      <c r="N181" s="7">
        <v>15.8612</v>
      </c>
      <c r="O181" s="7">
        <v>1039.0378000000001</v>
      </c>
      <c r="P181" s="4">
        <v>2.0152167805974299</v>
      </c>
      <c r="Q181" s="8">
        <v>387369</v>
      </c>
    </row>
    <row r="182" spans="1:17" x14ac:dyDescent="0.3">
      <c r="A182" t="s">
        <v>374</v>
      </c>
      <c r="B182" t="s">
        <v>375</v>
      </c>
      <c r="C182" t="s">
        <v>30</v>
      </c>
      <c r="D182" s="1">
        <v>45924</v>
      </c>
      <c r="E182" s="1">
        <v>45931</v>
      </c>
      <c r="F182" s="5">
        <v>7</v>
      </c>
      <c r="G182" s="2">
        <v>28582</v>
      </c>
      <c r="H182" s="5">
        <v>117310</v>
      </c>
      <c r="I182" s="5">
        <v>5103</v>
      </c>
      <c r="J182" s="5">
        <v>190</v>
      </c>
      <c r="K182" s="2">
        <v>125262</v>
      </c>
      <c r="L182" s="3">
        <v>4.3500127866337099E-2</v>
      </c>
      <c r="M182" s="3">
        <v>3.7233000195963199E-2</v>
      </c>
      <c r="N182" s="7">
        <v>5.601</v>
      </c>
      <c r="O182" s="7">
        <v>150.4316</v>
      </c>
      <c r="P182" s="4">
        <v>3.3825484570708801</v>
      </c>
      <c r="Q182" s="8">
        <v>96680</v>
      </c>
    </row>
    <row r="183" spans="1:17" x14ac:dyDescent="0.3">
      <c r="A183" t="s">
        <v>376</v>
      </c>
      <c r="B183" t="s">
        <v>377</v>
      </c>
      <c r="C183" t="s">
        <v>30</v>
      </c>
      <c r="D183" s="1">
        <v>45733</v>
      </c>
      <c r="E183" s="1">
        <v>45793</v>
      </c>
      <c r="F183" s="5">
        <v>60</v>
      </c>
      <c r="G183" s="2">
        <v>140337</v>
      </c>
      <c r="H183" s="5">
        <v>1985343</v>
      </c>
      <c r="I183" s="5">
        <v>37523</v>
      </c>
      <c r="J183" s="5">
        <v>1410</v>
      </c>
      <c r="K183" s="2">
        <v>4559694</v>
      </c>
      <c r="L183" s="3">
        <v>1.8900008713859499E-2</v>
      </c>
      <c r="M183" s="3">
        <v>3.7576952802281301E-2</v>
      </c>
      <c r="N183" s="7">
        <v>3.74</v>
      </c>
      <c r="O183" s="7">
        <v>99.529799999999994</v>
      </c>
      <c r="P183" s="4">
        <v>31.491032300818699</v>
      </c>
      <c r="Q183" s="8">
        <v>4419357</v>
      </c>
    </row>
    <row r="184" spans="1:17" x14ac:dyDescent="0.3">
      <c r="A184" t="s">
        <v>378</v>
      </c>
      <c r="B184" t="s">
        <v>379</v>
      </c>
      <c r="C184" t="s">
        <v>25</v>
      </c>
      <c r="D184" s="1">
        <v>45949</v>
      </c>
      <c r="E184" s="1">
        <v>45994</v>
      </c>
      <c r="F184" s="5">
        <v>45</v>
      </c>
      <c r="G184" s="2">
        <v>156190</v>
      </c>
      <c r="H184" s="5">
        <v>628777</v>
      </c>
      <c r="I184" s="5">
        <v>16977</v>
      </c>
      <c r="J184" s="5">
        <v>1643</v>
      </c>
      <c r="K184" s="2">
        <v>10459561</v>
      </c>
      <c r="L184" s="3">
        <v>2.7000033398168199E-2</v>
      </c>
      <c r="M184" s="3">
        <v>9.6777993756258507E-2</v>
      </c>
      <c r="N184" s="7">
        <v>9.2001000000000008</v>
      </c>
      <c r="O184" s="7">
        <v>95.063900000000004</v>
      </c>
      <c r="P184" s="4">
        <v>65.966905691785598</v>
      </c>
      <c r="Q184" s="8">
        <v>10303371</v>
      </c>
    </row>
    <row r="185" spans="1:17" x14ac:dyDescent="0.3">
      <c r="A185" t="s">
        <v>380</v>
      </c>
      <c r="B185" t="s">
        <v>381</v>
      </c>
      <c r="C185" t="s">
        <v>30</v>
      </c>
      <c r="D185" s="1">
        <v>45771</v>
      </c>
      <c r="E185" s="1">
        <v>45792</v>
      </c>
      <c r="F185" s="5">
        <v>21</v>
      </c>
      <c r="G185" s="2">
        <v>74493</v>
      </c>
      <c r="H185" s="5">
        <v>463094</v>
      </c>
      <c r="I185" s="5">
        <v>12272</v>
      </c>
      <c r="J185" s="5">
        <v>676</v>
      </c>
      <c r="K185" s="2">
        <v>460245</v>
      </c>
      <c r="L185" s="3">
        <v>2.6500019434499301E-2</v>
      </c>
      <c r="M185" s="3">
        <v>5.5084745762711898E-2</v>
      </c>
      <c r="N185" s="7">
        <v>6.0701999999999998</v>
      </c>
      <c r="O185" s="7">
        <v>110.19670000000001</v>
      </c>
      <c r="P185" s="4">
        <v>5.1783657524868101</v>
      </c>
      <c r="Q185" s="8">
        <v>385752</v>
      </c>
    </row>
    <row r="186" spans="1:17" x14ac:dyDescent="0.3">
      <c r="A186" t="s">
        <v>382</v>
      </c>
      <c r="B186" t="s">
        <v>383</v>
      </c>
      <c r="C186" t="s">
        <v>22</v>
      </c>
      <c r="D186" s="1">
        <v>45803</v>
      </c>
      <c r="E186" s="1">
        <v>45818</v>
      </c>
      <c r="F186" s="5">
        <v>15</v>
      </c>
      <c r="G186" s="2">
        <v>19165</v>
      </c>
      <c r="H186" s="5">
        <v>194999</v>
      </c>
      <c r="I186" s="5">
        <v>10140</v>
      </c>
      <c r="J186" s="5">
        <v>416</v>
      </c>
      <c r="K186" s="2">
        <v>574286</v>
      </c>
      <c r="L186" s="3">
        <v>5.2000266668034201E-2</v>
      </c>
      <c r="M186" s="3">
        <v>4.1025641025640998E-2</v>
      </c>
      <c r="N186" s="7">
        <v>1.89</v>
      </c>
      <c r="O186" s="7">
        <v>46.069699999999997</v>
      </c>
      <c r="P186" s="4">
        <v>28.965353509000799</v>
      </c>
      <c r="Q186" s="8">
        <v>555121</v>
      </c>
    </row>
    <row r="187" spans="1:17" x14ac:dyDescent="0.3">
      <c r="A187" t="s">
        <v>384</v>
      </c>
      <c r="B187" t="s">
        <v>385</v>
      </c>
      <c r="C187" t="s">
        <v>22</v>
      </c>
      <c r="D187" s="1">
        <v>45839</v>
      </c>
      <c r="E187" s="1">
        <v>45884</v>
      </c>
      <c r="F187" s="5">
        <v>45</v>
      </c>
      <c r="G187" s="2">
        <v>53196</v>
      </c>
      <c r="H187" s="5">
        <v>374259</v>
      </c>
      <c r="I187" s="5">
        <v>16168</v>
      </c>
      <c r="J187" s="5">
        <v>1605</v>
      </c>
      <c r="K187" s="2">
        <v>5301502</v>
      </c>
      <c r="L187" s="3">
        <v>4.32000299258E-2</v>
      </c>
      <c r="M187" s="3">
        <v>9.92701632855022E-2</v>
      </c>
      <c r="N187" s="7">
        <v>3.2902</v>
      </c>
      <c r="O187" s="7">
        <v>33.143900000000002</v>
      </c>
      <c r="P187" s="4">
        <v>98.659786450108996</v>
      </c>
      <c r="Q187" s="8">
        <v>5248306</v>
      </c>
    </row>
    <row r="188" spans="1:17" x14ac:dyDescent="0.3">
      <c r="A188" t="s">
        <v>386</v>
      </c>
      <c r="B188" t="s">
        <v>387</v>
      </c>
      <c r="C188" t="s">
        <v>25</v>
      </c>
      <c r="D188" s="1">
        <v>45923</v>
      </c>
      <c r="E188" s="1">
        <v>45938</v>
      </c>
      <c r="F188" s="5">
        <v>15</v>
      </c>
      <c r="G188" s="2">
        <v>89834</v>
      </c>
      <c r="H188" s="5">
        <v>197043</v>
      </c>
      <c r="I188" s="5">
        <v>9064</v>
      </c>
      <c r="J188" s="5">
        <v>913</v>
      </c>
      <c r="K188" s="2">
        <v>3292879</v>
      </c>
      <c r="L188" s="3">
        <v>4.6000111650756403E-2</v>
      </c>
      <c r="M188" s="3">
        <v>0.100728155339806</v>
      </c>
      <c r="N188" s="7">
        <v>9.9110999999999994</v>
      </c>
      <c r="O188" s="7">
        <v>98.394300000000001</v>
      </c>
      <c r="P188" s="4">
        <v>35.655152837455802</v>
      </c>
      <c r="Q188" s="8">
        <v>3203045</v>
      </c>
    </row>
    <row r="189" spans="1:17" x14ac:dyDescent="0.3">
      <c r="A189" t="s">
        <v>388</v>
      </c>
      <c r="B189" t="s">
        <v>389</v>
      </c>
      <c r="C189" t="s">
        <v>30</v>
      </c>
      <c r="D189" s="1">
        <v>45718</v>
      </c>
      <c r="E189" s="1">
        <v>45778</v>
      </c>
      <c r="F189" s="5">
        <v>60</v>
      </c>
      <c r="G189" s="2">
        <v>155517</v>
      </c>
      <c r="H189" s="5">
        <v>645223</v>
      </c>
      <c r="I189" s="5">
        <v>28906</v>
      </c>
      <c r="J189" s="5">
        <v>838</v>
      </c>
      <c r="K189" s="2">
        <v>2599572</v>
      </c>
      <c r="L189" s="3">
        <v>4.4800014878576898E-2</v>
      </c>
      <c r="M189" s="3">
        <v>2.8990520999100499E-2</v>
      </c>
      <c r="N189" s="7">
        <v>5.3800999999999997</v>
      </c>
      <c r="O189" s="7">
        <v>185.58109999999999</v>
      </c>
      <c r="P189" s="4">
        <v>15.715677385752</v>
      </c>
      <c r="Q189" s="8">
        <v>2444055</v>
      </c>
    </row>
    <row r="190" spans="1:17" x14ac:dyDescent="0.3">
      <c r="A190" t="s">
        <v>390</v>
      </c>
      <c r="B190" t="s">
        <v>391</v>
      </c>
      <c r="C190" t="s">
        <v>30</v>
      </c>
      <c r="D190" s="1">
        <v>45807</v>
      </c>
      <c r="E190" s="1">
        <v>45828</v>
      </c>
      <c r="F190" s="5">
        <v>21</v>
      </c>
      <c r="G190" s="2">
        <v>117524</v>
      </c>
      <c r="H190" s="5">
        <v>694258</v>
      </c>
      <c r="I190" s="5">
        <v>22008</v>
      </c>
      <c r="J190" s="5">
        <v>948</v>
      </c>
      <c r="K190" s="2">
        <v>1156584</v>
      </c>
      <c r="L190" s="3">
        <v>3.17000308242757E-2</v>
      </c>
      <c r="M190" s="3">
        <v>4.3075245365321702E-2</v>
      </c>
      <c r="N190" s="7">
        <v>5.3400999999999996</v>
      </c>
      <c r="O190" s="7">
        <v>123.9705</v>
      </c>
      <c r="P190" s="4">
        <v>8.8412579558217903</v>
      </c>
      <c r="Q190" s="8">
        <v>1039060</v>
      </c>
    </row>
    <row r="191" spans="1:17" x14ac:dyDescent="0.3">
      <c r="A191" t="s">
        <v>392</v>
      </c>
      <c r="B191" t="s">
        <v>393</v>
      </c>
      <c r="C191" t="s">
        <v>22</v>
      </c>
      <c r="D191" s="1">
        <v>45813</v>
      </c>
      <c r="E191" s="1">
        <v>45873</v>
      </c>
      <c r="F191" s="5">
        <v>60</v>
      </c>
      <c r="G191" s="2">
        <v>57622</v>
      </c>
      <c r="H191" s="5">
        <v>893458</v>
      </c>
      <c r="I191" s="5">
        <v>40295</v>
      </c>
      <c r="J191" s="5">
        <v>2848</v>
      </c>
      <c r="K191" s="2">
        <v>5327028</v>
      </c>
      <c r="L191" s="3">
        <v>4.5100049470708198E-2</v>
      </c>
      <c r="M191" s="3">
        <v>7.0678744261074594E-2</v>
      </c>
      <c r="N191" s="7">
        <v>1.43</v>
      </c>
      <c r="O191" s="7">
        <v>20.232399999999998</v>
      </c>
      <c r="P191" s="4">
        <v>91.447815070632799</v>
      </c>
      <c r="Q191" s="8">
        <v>5269406</v>
      </c>
    </row>
    <row r="192" spans="1:17" x14ac:dyDescent="0.3">
      <c r="A192" t="s">
        <v>394</v>
      </c>
      <c r="B192" t="s">
        <v>395</v>
      </c>
      <c r="C192" t="s">
        <v>30</v>
      </c>
      <c r="D192" s="1">
        <v>45663</v>
      </c>
      <c r="E192" s="1">
        <v>45693</v>
      </c>
      <c r="F192" s="5">
        <v>30</v>
      </c>
      <c r="G192" s="2">
        <v>31704</v>
      </c>
      <c r="H192" s="5">
        <v>302978</v>
      </c>
      <c r="I192" s="5">
        <v>9665</v>
      </c>
      <c r="J192" s="5">
        <v>481</v>
      </c>
      <c r="K192" s="2">
        <v>2323709</v>
      </c>
      <c r="L192" s="3">
        <v>3.1900005941025399E-2</v>
      </c>
      <c r="M192" s="3">
        <v>4.9767201241593402E-2</v>
      </c>
      <c r="N192" s="7">
        <v>3.2803</v>
      </c>
      <c r="O192" s="7">
        <v>65.912700000000001</v>
      </c>
      <c r="P192" s="4">
        <v>72.293874589957099</v>
      </c>
      <c r="Q192" s="8">
        <v>2292005</v>
      </c>
    </row>
    <row r="193" spans="1:17" x14ac:dyDescent="0.3">
      <c r="A193" t="s">
        <v>396</v>
      </c>
      <c r="B193" t="s">
        <v>397</v>
      </c>
      <c r="C193" t="s">
        <v>22</v>
      </c>
      <c r="D193" s="1">
        <v>45678</v>
      </c>
      <c r="E193" s="1">
        <v>45699</v>
      </c>
      <c r="F193" s="5">
        <v>21</v>
      </c>
      <c r="G193" s="2">
        <v>43975</v>
      </c>
      <c r="H193" s="5">
        <v>354841</v>
      </c>
      <c r="I193" s="5">
        <v>14513</v>
      </c>
      <c r="J193" s="5">
        <v>445</v>
      </c>
      <c r="K193" s="2">
        <v>268668</v>
      </c>
      <c r="L193" s="3">
        <v>4.0900008736307197E-2</v>
      </c>
      <c r="M193" s="3">
        <v>3.0662164955557101E-2</v>
      </c>
      <c r="N193" s="7">
        <v>3.03</v>
      </c>
      <c r="O193" s="7">
        <v>98.8202</v>
      </c>
      <c r="P193" s="4">
        <v>5.1095622512791401</v>
      </c>
      <c r="Q193" s="8">
        <v>224693</v>
      </c>
    </row>
    <row r="194" spans="1:17" x14ac:dyDescent="0.3">
      <c r="A194" t="s">
        <v>398</v>
      </c>
      <c r="B194" t="s">
        <v>399</v>
      </c>
      <c r="C194" t="s">
        <v>39</v>
      </c>
      <c r="D194" s="1">
        <v>45907</v>
      </c>
      <c r="E194" s="1">
        <v>45937</v>
      </c>
      <c r="F194" s="5">
        <v>30</v>
      </c>
      <c r="G194" s="2">
        <v>571150</v>
      </c>
      <c r="H194" s="5">
        <v>5357804</v>
      </c>
      <c r="I194" s="5">
        <v>21967</v>
      </c>
      <c r="J194" s="6">
        <v>80.399232560452859</v>
      </c>
      <c r="K194" s="2">
        <v>1256692</v>
      </c>
      <c r="L194" s="3">
        <v>4.1000006719170796E-3</v>
      </c>
      <c r="M194" s="9">
        <v>3.6600005717873562E-3</v>
      </c>
      <c r="N194" s="7">
        <v>26.000399999999999</v>
      </c>
      <c r="O194" s="10">
        <v>7103.923530246977</v>
      </c>
      <c r="P194" s="4">
        <v>1.2002836382736599</v>
      </c>
      <c r="Q194" s="8">
        <v>685542</v>
      </c>
    </row>
    <row r="195" spans="1:17" x14ac:dyDescent="0.3">
      <c r="A195" t="s">
        <v>400</v>
      </c>
      <c r="B195" t="s">
        <v>401</v>
      </c>
      <c r="C195" t="s">
        <v>22</v>
      </c>
      <c r="D195" s="1">
        <v>45817</v>
      </c>
      <c r="E195" s="1">
        <v>45824</v>
      </c>
      <c r="F195" s="5">
        <v>7</v>
      </c>
      <c r="G195" s="2">
        <v>38593</v>
      </c>
      <c r="H195" s="5">
        <v>525500</v>
      </c>
      <c r="I195" s="5">
        <v>25224</v>
      </c>
      <c r="J195" s="5">
        <v>1276</v>
      </c>
      <c r="K195" s="2">
        <v>5666781</v>
      </c>
      <c r="L195" s="3">
        <v>4.8000000000000001E-2</v>
      </c>
      <c r="M195" s="3">
        <v>5.0586742784649502E-2</v>
      </c>
      <c r="N195" s="7">
        <v>1.53</v>
      </c>
      <c r="O195" s="7">
        <v>30.2453</v>
      </c>
      <c r="P195" s="4">
        <v>145.83442593216401</v>
      </c>
      <c r="Q195" s="8">
        <v>5628188</v>
      </c>
    </row>
    <row r="196" spans="1:17" x14ac:dyDescent="0.3">
      <c r="A196" t="s">
        <v>402</v>
      </c>
      <c r="B196" t="s">
        <v>399</v>
      </c>
      <c r="C196" t="s">
        <v>25</v>
      </c>
      <c r="D196" s="1">
        <v>45764</v>
      </c>
      <c r="E196" s="1">
        <v>45824</v>
      </c>
      <c r="F196" s="5">
        <v>60</v>
      </c>
      <c r="G196" s="2">
        <v>304706</v>
      </c>
      <c r="H196" s="5">
        <v>794389</v>
      </c>
      <c r="I196" s="5">
        <v>27327</v>
      </c>
      <c r="J196" s="5">
        <v>1224</v>
      </c>
      <c r="K196" s="2">
        <v>7329038</v>
      </c>
      <c r="L196" s="3">
        <v>3.4400023162455703E-2</v>
      </c>
      <c r="M196" s="3">
        <v>4.4790866176309098E-2</v>
      </c>
      <c r="N196" s="7">
        <v>11.150399999999999</v>
      </c>
      <c r="O196" s="7">
        <v>248.94280000000001</v>
      </c>
      <c r="P196" s="4">
        <v>23.052818126325</v>
      </c>
      <c r="Q196" s="8">
        <v>7024332</v>
      </c>
    </row>
    <row r="197" spans="1:17" x14ac:dyDescent="0.3">
      <c r="A197" t="s">
        <v>403</v>
      </c>
      <c r="B197" t="s">
        <v>404</v>
      </c>
      <c r="C197" t="s">
        <v>22</v>
      </c>
      <c r="D197" s="1">
        <v>45815</v>
      </c>
      <c r="E197" s="1">
        <v>45820</v>
      </c>
      <c r="F197" s="5">
        <v>5</v>
      </c>
      <c r="G197" s="2">
        <v>51572</v>
      </c>
      <c r="H197" s="5">
        <v>669243</v>
      </c>
      <c r="I197" s="5">
        <v>16798</v>
      </c>
      <c r="J197" s="5">
        <v>861</v>
      </c>
      <c r="K197" s="2">
        <v>1392293</v>
      </c>
      <c r="L197" s="3">
        <v>2.5100001045957901E-2</v>
      </c>
      <c r="M197" s="3">
        <v>5.1256101916894899E-2</v>
      </c>
      <c r="N197" s="7">
        <v>3.0701000000000001</v>
      </c>
      <c r="O197" s="7">
        <v>59.897799999999997</v>
      </c>
      <c r="P197" s="4">
        <v>25.997072054603301</v>
      </c>
      <c r="Q197" s="8">
        <v>1340721</v>
      </c>
    </row>
    <row r="198" spans="1:17" x14ac:dyDescent="0.3">
      <c r="A198" t="s">
        <v>405</v>
      </c>
      <c r="B198" t="s">
        <v>406</v>
      </c>
      <c r="C198" t="s">
        <v>22</v>
      </c>
      <c r="D198" s="1">
        <v>45948</v>
      </c>
      <c r="E198" s="1">
        <v>46008</v>
      </c>
      <c r="F198" s="5">
        <v>60</v>
      </c>
      <c r="G198" s="2">
        <v>22433</v>
      </c>
      <c r="H198" s="5">
        <v>110373</v>
      </c>
      <c r="I198" s="5">
        <v>6214</v>
      </c>
      <c r="J198" s="5">
        <v>410</v>
      </c>
      <c r="K198" s="2">
        <v>806712</v>
      </c>
      <c r="L198" s="3">
        <v>5.63000009060187E-2</v>
      </c>
      <c r="M198" s="3">
        <v>6.5980045059542997E-2</v>
      </c>
      <c r="N198" s="7">
        <v>3.6101000000000001</v>
      </c>
      <c r="O198" s="7">
        <v>54.714599999999997</v>
      </c>
      <c r="P198" s="4">
        <v>34.960950385592703</v>
      </c>
      <c r="Q198" s="8">
        <v>784279</v>
      </c>
    </row>
    <row r="199" spans="1:17" x14ac:dyDescent="0.3">
      <c r="A199" t="s">
        <v>407</v>
      </c>
      <c r="B199" t="s">
        <v>408</v>
      </c>
      <c r="C199" t="s">
        <v>25</v>
      </c>
      <c r="D199" s="1">
        <v>45712</v>
      </c>
      <c r="E199" s="1">
        <v>45772</v>
      </c>
      <c r="F199" s="5">
        <v>60</v>
      </c>
      <c r="G199" s="2">
        <v>55222</v>
      </c>
      <c r="H199" s="5">
        <v>442461</v>
      </c>
      <c r="I199" s="5">
        <v>11504</v>
      </c>
      <c r="J199" s="5">
        <v>941</v>
      </c>
      <c r="K199" s="2">
        <v>4847075</v>
      </c>
      <c r="L199" s="3">
        <v>2.6000031641206799E-2</v>
      </c>
      <c r="M199" s="3">
        <v>8.1797635605006996E-2</v>
      </c>
      <c r="N199" s="7">
        <v>4.8002000000000002</v>
      </c>
      <c r="O199" s="7">
        <v>58.684399999999997</v>
      </c>
      <c r="P199" s="4">
        <v>86.774347180471594</v>
      </c>
      <c r="Q199" s="8">
        <v>4791853</v>
      </c>
    </row>
    <row r="200" spans="1:17" x14ac:dyDescent="0.3">
      <c r="A200" t="s">
        <v>409</v>
      </c>
      <c r="B200" t="s">
        <v>410</v>
      </c>
      <c r="C200" t="s">
        <v>25</v>
      </c>
      <c r="D200" s="1">
        <v>45731</v>
      </c>
      <c r="E200" s="1">
        <v>45752</v>
      </c>
      <c r="F200" s="5">
        <v>21</v>
      </c>
      <c r="G200" s="2">
        <v>164918</v>
      </c>
      <c r="H200" s="5">
        <v>932277</v>
      </c>
      <c r="I200" s="5">
        <v>24146</v>
      </c>
      <c r="J200" s="5">
        <v>1480</v>
      </c>
      <c r="K200" s="2">
        <v>3247052</v>
      </c>
      <c r="L200" s="3">
        <v>2.5900027566914102E-2</v>
      </c>
      <c r="M200" s="3">
        <v>6.1293796073883897E-2</v>
      </c>
      <c r="N200" s="7">
        <v>6.83</v>
      </c>
      <c r="O200" s="7">
        <v>111.4311</v>
      </c>
      <c r="P200" s="4">
        <v>18.688887810912099</v>
      </c>
      <c r="Q200" s="8">
        <v>3082134</v>
      </c>
    </row>
    <row r="201" spans="1:17" x14ac:dyDescent="0.3">
      <c r="A201" t="s">
        <v>411</v>
      </c>
      <c r="B201" t="s">
        <v>412</v>
      </c>
      <c r="C201" t="s">
        <v>30</v>
      </c>
      <c r="D201" s="1">
        <v>45668</v>
      </c>
      <c r="E201" s="1">
        <v>45698</v>
      </c>
      <c r="F201" s="5">
        <v>30</v>
      </c>
      <c r="G201" s="2">
        <v>39333</v>
      </c>
      <c r="H201" s="5">
        <v>338438</v>
      </c>
      <c r="I201" s="5">
        <v>9104</v>
      </c>
      <c r="J201" s="5">
        <v>599</v>
      </c>
      <c r="K201" s="2">
        <v>471489</v>
      </c>
      <c r="L201" s="3">
        <v>2.6900052594566799E-2</v>
      </c>
      <c r="M201" s="3">
        <v>6.5795254833040398E-2</v>
      </c>
      <c r="N201" s="7">
        <v>4.3204000000000002</v>
      </c>
      <c r="O201" s="7">
        <v>65.664400000000001</v>
      </c>
      <c r="P201" s="4">
        <v>10.9871100602547</v>
      </c>
      <c r="Q201" s="8">
        <v>432156</v>
      </c>
    </row>
    <row r="202" spans="1:17" x14ac:dyDescent="0.3">
      <c r="A202" t="s">
        <v>413</v>
      </c>
      <c r="B202" t="s">
        <v>414</v>
      </c>
      <c r="C202" t="s">
        <v>30</v>
      </c>
      <c r="D202" s="1">
        <v>45819</v>
      </c>
      <c r="E202" s="1">
        <v>45829</v>
      </c>
      <c r="F202" s="5">
        <v>10</v>
      </c>
      <c r="G202" s="2">
        <v>26615</v>
      </c>
      <c r="H202" s="5">
        <v>80303</v>
      </c>
      <c r="I202" s="5">
        <v>3172</v>
      </c>
      <c r="J202" s="5">
        <v>121</v>
      </c>
      <c r="K202" s="2">
        <v>374079</v>
      </c>
      <c r="L202" s="3">
        <v>3.9500392264299002E-2</v>
      </c>
      <c r="M202" s="3">
        <v>3.8146279949558597E-2</v>
      </c>
      <c r="N202" s="7">
        <v>8.3905999999999992</v>
      </c>
      <c r="O202" s="7">
        <v>219.95869999999999</v>
      </c>
      <c r="P202" s="4">
        <v>13.055194439226</v>
      </c>
      <c r="Q202" s="8">
        <v>347464</v>
      </c>
    </row>
    <row r="203" spans="1:17" x14ac:dyDescent="0.3">
      <c r="A203" t="s">
        <v>415</v>
      </c>
      <c r="B203" t="s">
        <v>416</v>
      </c>
      <c r="C203" t="s">
        <v>25</v>
      </c>
      <c r="D203" s="1">
        <v>45869</v>
      </c>
      <c r="E203" s="1">
        <v>45883</v>
      </c>
      <c r="F203" s="5">
        <v>14</v>
      </c>
      <c r="G203" s="2">
        <v>202087</v>
      </c>
      <c r="H203" s="5">
        <v>625968</v>
      </c>
      <c r="I203" s="5">
        <v>28106</v>
      </c>
      <c r="J203" s="5">
        <v>1174</v>
      </c>
      <c r="K203" s="2">
        <v>906098</v>
      </c>
      <c r="L203" s="3">
        <v>4.4900058788947698E-2</v>
      </c>
      <c r="M203" s="3">
        <v>4.1770440475343298E-2</v>
      </c>
      <c r="N203" s="7">
        <v>7.1901999999999999</v>
      </c>
      <c r="O203" s="7">
        <v>172.1354</v>
      </c>
      <c r="P203" s="4">
        <v>3.4837025637473</v>
      </c>
      <c r="Q203" s="8">
        <v>704011</v>
      </c>
    </row>
    <row r="204" spans="1:17" x14ac:dyDescent="0.3">
      <c r="A204" t="s">
        <v>417</v>
      </c>
      <c r="B204" t="s">
        <v>418</v>
      </c>
      <c r="C204" t="s">
        <v>25</v>
      </c>
      <c r="D204" s="1">
        <v>45829</v>
      </c>
      <c r="E204" s="1">
        <v>45836</v>
      </c>
      <c r="F204" s="5">
        <v>7</v>
      </c>
      <c r="G204" s="2">
        <v>319838</v>
      </c>
      <c r="H204" s="5">
        <v>916823</v>
      </c>
      <c r="I204" s="5">
        <v>29155</v>
      </c>
      <c r="J204" s="5">
        <v>2685</v>
      </c>
      <c r="K204" s="2">
        <v>4477175</v>
      </c>
      <c r="L204" s="3">
        <v>3.1800031194679897E-2</v>
      </c>
      <c r="M204" s="3">
        <v>9.2093980449322599E-2</v>
      </c>
      <c r="N204" s="7">
        <v>10.9703</v>
      </c>
      <c r="O204" s="7">
        <v>119.1203</v>
      </c>
      <c r="P204" s="4">
        <v>12.9982584933623</v>
      </c>
      <c r="Q204" s="8">
        <v>4157337</v>
      </c>
    </row>
    <row r="205" spans="1:17" x14ac:dyDescent="0.3">
      <c r="A205" t="s">
        <v>419</v>
      </c>
      <c r="B205" t="s">
        <v>420</v>
      </c>
      <c r="C205" t="s">
        <v>30</v>
      </c>
      <c r="D205" s="1">
        <v>45834</v>
      </c>
      <c r="E205" s="1">
        <v>45849</v>
      </c>
      <c r="F205" s="5">
        <v>15</v>
      </c>
      <c r="G205" s="2">
        <v>87173</v>
      </c>
      <c r="H205" s="5">
        <v>664017</v>
      </c>
      <c r="I205" s="5">
        <v>15538</v>
      </c>
      <c r="J205" s="5">
        <v>334</v>
      </c>
      <c r="K205" s="2">
        <v>143073</v>
      </c>
      <c r="L205" s="3">
        <v>2.3400003313168199E-2</v>
      </c>
      <c r="M205" s="3">
        <v>2.1495687990732398E-2</v>
      </c>
      <c r="N205" s="7">
        <v>5.6102999999999996</v>
      </c>
      <c r="O205" s="7">
        <v>260.99700000000001</v>
      </c>
      <c r="P205" s="4">
        <v>0.64125359916487901</v>
      </c>
      <c r="Q205" s="8">
        <v>55900</v>
      </c>
    </row>
    <row r="206" spans="1:17" x14ac:dyDescent="0.3">
      <c r="A206" t="s">
        <v>421</v>
      </c>
      <c r="B206" t="s">
        <v>344</v>
      </c>
      <c r="C206" t="s">
        <v>22</v>
      </c>
      <c r="D206" s="1">
        <v>45739</v>
      </c>
      <c r="E206" s="1">
        <v>45753</v>
      </c>
      <c r="F206" s="5">
        <v>14</v>
      </c>
      <c r="G206" s="2">
        <v>29111</v>
      </c>
      <c r="H206" s="5">
        <v>280934</v>
      </c>
      <c r="I206" s="5">
        <v>14131</v>
      </c>
      <c r="J206" s="5">
        <v>796</v>
      </c>
      <c r="K206" s="2">
        <v>2864307</v>
      </c>
      <c r="L206" s="3">
        <v>5.0300070479187303E-2</v>
      </c>
      <c r="M206" s="3">
        <v>5.6330054490128102E-2</v>
      </c>
      <c r="N206" s="7">
        <v>2.0600999999999998</v>
      </c>
      <c r="O206" s="7">
        <v>36.571599999999997</v>
      </c>
      <c r="P206" s="4">
        <v>97.392600735117298</v>
      </c>
      <c r="Q206" s="8">
        <v>2835196</v>
      </c>
    </row>
    <row r="207" spans="1:17" x14ac:dyDescent="0.3">
      <c r="A207" t="s">
        <v>422</v>
      </c>
      <c r="B207" t="s">
        <v>423</v>
      </c>
      <c r="C207" t="s">
        <v>30</v>
      </c>
      <c r="D207" s="1">
        <v>45725</v>
      </c>
      <c r="E207" s="1">
        <v>45770</v>
      </c>
      <c r="F207" s="5">
        <v>45</v>
      </c>
      <c r="G207" s="2">
        <v>210197</v>
      </c>
      <c r="H207" s="5">
        <v>710668</v>
      </c>
      <c r="I207" s="5">
        <v>23381</v>
      </c>
      <c r="J207" s="5">
        <v>1084</v>
      </c>
      <c r="K207" s="2">
        <v>3104899</v>
      </c>
      <c r="L207" s="3">
        <v>3.2900032082491398E-2</v>
      </c>
      <c r="M207" s="3">
        <v>4.6362431033745398E-2</v>
      </c>
      <c r="N207" s="7">
        <v>8.9901</v>
      </c>
      <c r="O207" s="7">
        <v>193.90870000000001</v>
      </c>
      <c r="P207" s="4">
        <v>13.7713763754954</v>
      </c>
      <c r="Q207" s="8">
        <v>2894702</v>
      </c>
    </row>
    <row r="208" spans="1:17" x14ac:dyDescent="0.3">
      <c r="A208" t="s">
        <v>424</v>
      </c>
      <c r="B208" t="s">
        <v>425</v>
      </c>
      <c r="C208" t="s">
        <v>39</v>
      </c>
      <c r="D208" s="1">
        <v>45920</v>
      </c>
      <c r="E208" s="1">
        <v>45927</v>
      </c>
      <c r="F208" s="5">
        <v>7</v>
      </c>
      <c r="G208" s="2">
        <v>245912</v>
      </c>
      <c r="H208" s="5">
        <v>3587500</v>
      </c>
      <c r="I208" s="5">
        <v>8610</v>
      </c>
      <c r="J208" s="5">
        <v>218</v>
      </c>
      <c r="K208" s="2">
        <v>142837</v>
      </c>
      <c r="L208" s="3">
        <v>2.3999999999999998E-3</v>
      </c>
      <c r="M208" s="3">
        <v>2.53193960511034E-2</v>
      </c>
      <c r="N208" s="7">
        <v>28.561199999999999</v>
      </c>
      <c r="O208" s="7">
        <v>1128.0367000000001</v>
      </c>
      <c r="P208" s="4">
        <v>-0.41915400631120098</v>
      </c>
      <c r="Q208" s="8">
        <v>-103075</v>
      </c>
    </row>
    <row r="209" spans="1:17" x14ac:dyDescent="0.3">
      <c r="A209" t="s">
        <v>426</v>
      </c>
      <c r="B209" t="s">
        <v>427</v>
      </c>
      <c r="C209" t="s">
        <v>30</v>
      </c>
      <c r="D209" s="1">
        <v>45748</v>
      </c>
      <c r="E209" s="1">
        <v>45755</v>
      </c>
      <c r="F209" s="5">
        <v>7</v>
      </c>
      <c r="G209" s="2">
        <v>228459</v>
      </c>
      <c r="H209" s="5">
        <v>1145121</v>
      </c>
      <c r="I209" s="5">
        <v>28170</v>
      </c>
      <c r="J209" s="5">
        <v>1684</v>
      </c>
      <c r="K209" s="2">
        <v>1142753</v>
      </c>
      <c r="L209" s="3">
        <v>2.4600020434521801E-2</v>
      </c>
      <c r="M209" s="3">
        <v>5.9779907703230398E-2</v>
      </c>
      <c r="N209" s="7">
        <v>8.11</v>
      </c>
      <c r="O209" s="7">
        <v>135.6645</v>
      </c>
      <c r="P209" s="4">
        <v>4.0020047360795603</v>
      </c>
      <c r="Q209" s="8">
        <v>914294</v>
      </c>
    </row>
    <row r="210" spans="1:17" x14ac:dyDescent="0.3">
      <c r="A210" t="s">
        <v>428</v>
      </c>
      <c r="B210" t="s">
        <v>429</v>
      </c>
      <c r="C210" t="s">
        <v>30</v>
      </c>
      <c r="D210" s="1">
        <v>45817</v>
      </c>
      <c r="E210" s="1">
        <v>45824</v>
      </c>
      <c r="F210" s="5">
        <v>7</v>
      </c>
      <c r="G210" s="2">
        <v>48052</v>
      </c>
      <c r="H210" s="5">
        <v>586223</v>
      </c>
      <c r="I210" s="5">
        <v>11021</v>
      </c>
      <c r="J210" s="5">
        <v>694</v>
      </c>
      <c r="K210" s="2">
        <v>1332387</v>
      </c>
      <c r="L210" s="3">
        <v>1.8800012964349699E-2</v>
      </c>
      <c r="M210" s="3">
        <v>6.2970692314672005E-2</v>
      </c>
      <c r="N210" s="7">
        <v>4.3600000000000003</v>
      </c>
      <c r="O210" s="7">
        <v>69.239199999999997</v>
      </c>
      <c r="P210" s="4">
        <v>26.728023807541799</v>
      </c>
      <c r="Q210" s="8">
        <v>1284335</v>
      </c>
    </row>
    <row r="211" spans="1:17" x14ac:dyDescent="0.3">
      <c r="A211" t="s">
        <v>430</v>
      </c>
      <c r="B211" t="s">
        <v>431</v>
      </c>
      <c r="C211" t="s">
        <v>15</v>
      </c>
      <c r="D211" s="1">
        <v>45673</v>
      </c>
      <c r="E211" s="1">
        <v>45683</v>
      </c>
      <c r="F211" s="5">
        <v>10</v>
      </c>
      <c r="G211" s="2">
        <v>534388</v>
      </c>
      <c r="H211" s="5">
        <v>8090357</v>
      </c>
      <c r="I211" s="5">
        <v>22653</v>
      </c>
      <c r="J211" s="5">
        <v>271</v>
      </c>
      <c r="K211" s="2">
        <v>126095</v>
      </c>
      <c r="L211" s="3">
        <v>2.8000000494415801E-3</v>
      </c>
      <c r="M211" s="3">
        <v>1.19630953957533E-2</v>
      </c>
      <c r="N211" s="7">
        <v>23.590199999999999</v>
      </c>
      <c r="O211" s="7">
        <v>1971.9114</v>
      </c>
      <c r="P211" s="4">
        <v>-0.76403848888822401</v>
      </c>
      <c r="Q211" s="8">
        <v>-408293</v>
      </c>
    </row>
    <row r="212" spans="1:17" x14ac:dyDescent="0.3">
      <c r="A212" t="s">
        <v>432</v>
      </c>
      <c r="B212" t="s">
        <v>433</v>
      </c>
      <c r="C212" t="s">
        <v>22</v>
      </c>
      <c r="D212" s="1">
        <v>45751</v>
      </c>
      <c r="E212" s="1">
        <v>45758</v>
      </c>
      <c r="F212" s="5">
        <v>7</v>
      </c>
      <c r="G212" s="2">
        <v>24102</v>
      </c>
      <c r="H212" s="5">
        <v>313760</v>
      </c>
      <c r="I212" s="5">
        <v>17853</v>
      </c>
      <c r="J212" s="5">
        <v>1453</v>
      </c>
      <c r="K212" s="2">
        <v>10544104</v>
      </c>
      <c r="L212" s="3">
        <v>5.69001784803672E-2</v>
      </c>
      <c r="M212" s="3">
        <v>8.1386881756567497E-2</v>
      </c>
      <c r="N212" s="7">
        <v>1.35</v>
      </c>
      <c r="O212" s="7">
        <v>16.587700000000002</v>
      </c>
      <c r="P212" s="4">
        <v>436.47838353663599</v>
      </c>
      <c r="Q212" s="8">
        <v>10520002</v>
      </c>
    </row>
    <row r="213" spans="1:17" x14ac:dyDescent="0.3">
      <c r="A213" t="s">
        <v>434</v>
      </c>
      <c r="B213" t="s">
        <v>435</v>
      </c>
      <c r="C213" t="s">
        <v>22</v>
      </c>
      <c r="D213" s="1">
        <v>45737</v>
      </c>
      <c r="E213" s="1">
        <v>45752</v>
      </c>
      <c r="F213" s="5">
        <v>15</v>
      </c>
      <c r="G213" s="2">
        <v>29952</v>
      </c>
      <c r="H213" s="5">
        <v>210609</v>
      </c>
      <c r="I213" s="5">
        <v>9330</v>
      </c>
      <c r="J213" s="5">
        <v>691</v>
      </c>
      <c r="K213" s="2">
        <v>1547115</v>
      </c>
      <c r="L213" s="3">
        <v>4.4300101135279102E-2</v>
      </c>
      <c r="M213" s="3">
        <v>7.4062165058949594E-2</v>
      </c>
      <c r="N213" s="7">
        <v>3.2103000000000002</v>
      </c>
      <c r="O213" s="7">
        <v>43.3459</v>
      </c>
      <c r="P213" s="4">
        <v>50.653145032051299</v>
      </c>
      <c r="Q213" s="8">
        <v>1517163</v>
      </c>
    </row>
    <row r="214" spans="1:17" x14ac:dyDescent="0.3">
      <c r="A214" t="s">
        <v>436</v>
      </c>
      <c r="B214" t="s">
        <v>437</v>
      </c>
      <c r="C214" t="s">
        <v>15</v>
      </c>
      <c r="D214" s="1">
        <v>45658</v>
      </c>
      <c r="E214" s="1">
        <v>45679</v>
      </c>
      <c r="F214" s="5">
        <v>21</v>
      </c>
      <c r="G214" s="2">
        <v>267306</v>
      </c>
      <c r="H214" s="5">
        <v>3129687</v>
      </c>
      <c r="I214" s="5">
        <v>10015</v>
      </c>
      <c r="J214" s="5">
        <v>107</v>
      </c>
      <c r="K214" s="2">
        <v>60762</v>
      </c>
      <c r="L214" s="3">
        <v>3.2000005112332299E-3</v>
      </c>
      <c r="M214" s="3">
        <v>1.0683974038941601E-2</v>
      </c>
      <c r="N214" s="7">
        <v>26.6906</v>
      </c>
      <c r="O214" s="7">
        <v>2498.1869000000002</v>
      </c>
      <c r="P214" s="4">
        <v>-0.77268748176247404</v>
      </c>
      <c r="Q214" s="8">
        <v>-206544</v>
      </c>
    </row>
    <row r="215" spans="1:17" x14ac:dyDescent="0.3">
      <c r="A215" t="s">
        <v>438</v>
      </c>
      <c r="B215" t="s">
        <v>439</v>
      </c>
      <c r="C215" t="s">
        <v>25</v>
      </c>
      <c r="D215" s="1">
        <v>45821</v>
      </c>
      <c r="E215" s="1">
        <v>45826</v>
      </c>
      <c r="F215" s="5">
        <v>5</v>
      </c>
      <c r="G215" s="2">
        <v>150173</v>
      </c>
      <c r="H215" s="5">
        <v>457757</v>
      </c>
      <c r="I215" s="5">
        <v>14694</v>
      </c>
      <c r="J215" s="5">
        <v>1661</v>
      </c>
      <c r="K215" s="2">
        <v>8366055</v>
      </c>
      <c r="L215" s="3">
        <v>3.2100000655369602E-2</v>
      </c>
      <c r="M215" s="3">
        <v>0.113039335783313</v>
      </c>
      <c r="N215" s="7">
        <v>10.220000000000001</v>
      </c>
      <c r="O215" s="7">
        <v>90.411199999999994</v>
      </c>
      <c r="P215" s="4">
        <v>54.709448436137002</v>
      </c>
      <c r="Q215" s="8">
        <v>8215882</v>
      </c>
    </row>
    <row r="216" spans="1:17" x14ac:dyDescent="0.3">
      <c r="A216" t="s">
        <v>440</v>
      </c>
      <c r="B216" t="s">
        <v>441</v>
      </c>
      <c r="C216" t="s">
        <v>25</v>
      </c>
      <c r="D216" s="1">
        <v>45875</v>
      </c>
      <c r="E216" s="1">
        <v>45896</v>
      </c>
      <c r="F216" s="5">
        <v>21</v>
      </c>
      <c r="G216" s="2">
        <v>272027</v>
      </c>
      <c r="H216" s="5">
        <v>537963</v>
      </c>
      <c r="I216" s="5">
        <v>23778</v>
      </c>
      <c r="J216" s="5">
        <v>2356</v>
      </c>
      <c r="K216" s="2">
        <v>15767857</v>
      </c>
      <c r="L216" s="3">
        <v>4.4200065803782003E-2</v>
      </c>
      <c r="M216" s="3">
        <v>9.9083186138447299E-2</v>
      </c>
      <c r="N216" s="7">
        <v>11.440300000000001</v>
      </c>
      <c r="O216" s="7">
        <v>115.4614</v>
      </c>
      <c r="P216" s="4">
        <v>56.964308689946201</v>
      </c>
      <c r="Q216" s="8">
        <v>15495830</v>
      </c>
    </row>
    <row r="217" spans="1:17" x14ac:dyDescent="0.3">
      <c r="A217" t="s">
        <v>442</v>
      </c>
      <c r="B217" t="s">
        <v>443</v>
      </c>
      <c r="C217" t="s">
        <v>25</v>
      </c>
      <c r="D217" s="1">
        <v>45908</v>
      </c>
      <c r="E217" s="1">
        <v>45918</v>
      </c>
      <c r="F217" s="5">
        <v>10</v>
      </c>
      <c r="G217" s="2">
        <v>139245</v>
      </c>
      <c r="H217" s="5">
        <v>717713</v>
      </c>
      <c r="I217" s="5">
        <v>32010</v>
      </c>
      <c r="J217" s="5">
        <v>3345</v>
      </c>
      <c r="K217" s="2">
        <v>4318060</v>
      </c>
      <c r="L217" s="3">
        <v>4.4600000278662899E-2</v>
      </c>
      <c r="M217" s="3">
        <v>0.10449859418931599</v>
      </c>
      <c r="N217" s="7">
        <v>4.3499999999999996</v>
      </c>
      <c r="O217" s="7">
        <v>41.627800000000001</v>
      </c>
      <c r="P217" s="4">
        <v>30.010521024094199</v>
      </c>
      <c r="Q217" s="8">
        <v>4178815</v>
      </c>
    </row>
    <row r="218" spans="1:17" x14ac:dyDescent="0.3">
      <c r="A218" t="s">
        <v>444</v>
      </c>
      <c r="B218" t="s">
        <v>445</v>
      </c>
      <c r="C218" t="s">
        <v>30</v>
      </c>
      <c r="D218" s="1">
        <v>45744</v>
      </c>
      <c r="E218" s="1">
        <v>45749</v>
      </c>
      <c r="F218" s="5">
        <v>5</v>
      </c>
      <c r="G218" s="2">
        <v>118801</v>
      </c>
      <c r="H218" s="5">
        <v>1313820</v>
      </c>
      <c r="I218" s="5">
        <v>23386</v>
      </c>
      <c r="J218" s="5">
        <v>1361</v>
      </c>
      <c r="K218" s="2">
        <v>1183445</v>
      </c>
      <c r="L218" s="3">
        <v>1.7800003044557099E-2</v>
      </c>
      <c r="M218" s="3">
        <v>5.81972120071838E-2</v>
      </c>
      <c r="N218" s="7">
        <v>5.08</v>
      </c>
      <c r="O218" s="7">
        <v>87.289500000000004</v>
      </c>
      <c r="P218" s="4">
        <v>8.9615743975219093</v>
      </c>
      <c r="Q218" s="8">
        <v>1064644</v>
      </c>
    </row>
    <row r="219" spans="1:17" x14ac:dyDescent="0.3">
      <c r="A219" t="s">
        <v>446</v>
      </c>
      <c r="B219" t="s">
        <v>447</v>
      </c>
      <c r="C219" t="s">
        <v>30</v>
      </c>
      <c r="D219" s="1">
        <v>45726</v>
      </c>
      <c r="E219" s="1">
        <v>45771</v>
      </c>
      <c r="F219" s="5">
        <v>45</v>
      </c>
      <c r="G219" s="2">
        <v>193010</v>
      </c>
      <c r="H219" s="5">
        <v>1573791</v>
      </c>
      <c r="I219" s="5">
        <v>37771</v>
      </c>
      <c r="J219" s="5">
        <v>2761</v>
      </c>
      <c r="K219" s="2">
        <v>4283098</v>
      </c>
      <c r="L219" s="3">
        <v>2.4000010166534198E-2</v>
      </c>
      <c r="M219" s="3">
        <v>7.3098408832172806E-2</v>
      </c>
      <c r="N219" s="7">
        <v>5.1100000000000003</v>
      </c>
      <c r="O219" s="7">
        <v>69.905799999999999</v>
      </c>
      <c r="P219" s="4">
        <v>21.1910678203202</v>
      </c>
      <c r="Q219" s="8">
        <v>4090088</v>
      </c>
    </row>
    <row r="220" spans="1:17" x14ac:dyDescent="0.3">
      <c r="A220" t="s">
        <v>448</v>
      </c>
      <c r="B220" t="s">
        <v>449</v>
      </c>
      <c r="C220" t="s">
        <v>22</v>
      </c>
      <c r="D220" s="1">
        <v>45999</v>
      </c>
      <c r="E220" s="1">
        <v>46009</v>
      </c>
      <c r="F220" s="5">
        <v>10</v>
      </c>
      <c r="G220" s="2">
        <v>15144</v>
      </c>
      <c r="H220" s="5">
        <v>131581</v>
      </c>
      <c r="I220" s="5">
        <v>5408</v>
      </c>
      <c r="J220" s="5">
        <v>452</v>
      </c>
      <c r="K220" s="2">
        <v>628866</v>
      </c>
      <c r="L220" s="3">
        <v>4.1100158837522098E-2</v>
      </c>
      <c r="M220" s="3">
        <v>8.3579881656804703E-2</v>
      </c>
      <c r="N220" s="7">
        <v>2.8003</v>
      </c>
      <c r="O220" s="7">
        <v>33.504399999999997</v>
      </c>
      <c r="P220" s="4">
        <v>40.525752773375601</v>
      </c>
      <c r="Q220" s="8">
        <v>613722</v>
      </c>
    </row>
    <row r="221" spans="1:17" x14ac:dyDescent="0.3">
      <c r="A221" t="s">
        <v>450</v>
      </c>
      <c r="B221" t="s">
        <v>451</v>
      </c>
      <c r="C221" t="s">
        <v>30</v>
      </c>
      <c r="D221" s="1">
        <v>45801</v>
      </c>
      <c r="E221" s="1">
        <v>45806</v>
      </c>
      <c r="F221" s="5">
        <v>5</v>
      </c>
      <c r="G221" s="2">
        <v>104666</v>
      </c>
      <c r="H221" s="5">
        <v>695527</v>
      </c>
      <c r="I221" s="5">
        <v>25039</v>
      </c>
      <c r="J221" s="5">
        <v>1174</v>
      </c>
      <c r="K221" s="2">
        <v>953271</v>
      </c>
      <c r="L221" s="3">
        <v>3.60000402572438E-2</v>
      </c>
      <c r="M221" s="3">
        <v>4.6886856503853998E-2</v>
      </c>
      <c r="N221" s="7">
        <v>4.1801000000000004</v>
      </c>
      <c r="O221" s="7">
        <v>89.153300000000002</v>
      </c>
      <c r="P221" s="4">
        <v>8.1077427244759495</v>
      </c>
      <c r="Q221" s="8">
        <v>848605</v>
      </c>
    </row>
  </sheetData>
  <conditionalFormatting sqref="P1:Q1048576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C2A0-4D7E-4120-BD88-6B0268552E5F}">
  <dimension ref="A1:AF223"/>
  <sheetViews>
    <sheetView topLeftCell="G1" zoomScale="102" zoomScaleNormal="99" workbookViewId="0">
      <selection activeCell="P9" sqref="P9"/>
    </sheetView>
  </sheetViews>
  <sheetFormatPr defaultRowHeight="14.4" x14ac:dyDescent="0.3"/>
  <cols>
    <col min="1" max="1" width="12.21875" bestFit="1" customWidth="1"/>
    <col min="2" max="2" width="45.5546875" bestFit="1" customWidth="1"/>
    <col min="3" max="3" width="23.88671875" bestFit="1" customWidth="1"/>
    <col min="4" max="4" width="2.44140625" customWidth="1"/>
    <col min="5" max="5" width="2.6640625" customWidth="1"/>
    <col min="6" max="6" width="14.77734375" bestFit="1" customWidth="1"/>
    <col min="7" max="7" width="45.5546875" bestFit="1" customWidth="1"/>
    <col min="8" max="8" width="21.33203125" bestFit="1" customWidth="1"/>
    <col min="9" max="9" width="2.88671875" customWidth="1"/>
    <col min="10" max="10" width="3.109375" customWidth="1"/>
    <col min="11" max="11" width="11.44140625" bestFit="1" customWidth="1"/>
    <col min="12" max="12" width="17.6640625" bestFit="1" customWidth="1"/>
    <col min="13" max="13" width="23.5546875" bestFit="1" customWidth="1"/>
    <col min="14" max="14" width="16.33203125" bestFit="1" customWidth="1"/>
    <col min="15" max="15" width="10.6640625" bestFit="1" customWidth="1"/>
    <col min="16" max="16" width="16.44140625" bestFit="1" customWidth="1"/>
    <col min="17" max="17" width="15.21875" bestFit="1" customWidth="1"/>
    <col min="18" max="18" width="26.33203125" bestFit="1" customWidth="1"/>
    <col min="19" max="19" width="20.44140625" bestFit="1" customWidth="1"/>
    <col min="20" max="20" width="26.21875" bestFit="1" customWidth="1"/>
    <col min="21" max="21" width="15.109375" bestFit="1" customWidth="1"/>
    <col min="22" max="22" width="14.21875" bestFit="1" customWidth="1"/>
    <col min="23" max="23" width="18" bestFit="1" customWidth="1"/>
    <col min="24" max="163" width="10.33203125" bestFit="1" customWidth="1"/>
    <col min="164" max="164" width="10.77734375" bestFit="1" customWidth="1"/>
    <col min="165" max="165" width="29.109375" bestFit="1" customWidth="1"/>
    <col min="166" max="167" width="32.21875" bestFit="1" customWidth="1"/>
    <col min="168" max="168" width="33.33203125" bestFit="1" customWidth="1"/>
    <col min="169" max="169" width="36.44140625" bestFit="1" customWidth="1"/>
    <col min="170" max="170" width="37.21875" bestFit="1" customWidth="1"/>
    <col min="171" max="171" width="37" bestFit="1" customWidth="1"/>
    <col min="172" max="172" width="40.109375" bestFit="1" customWidth="1"/>
    <col min="173" max="173" width="34.6640625" bestFit="1" customWidth="1"/>
    <col min="174" max="175" width="37.77734375" bestFit="1" customWidth="1"/>
    <col min="176" max="176" width="32.88671875" bestFit="1" customWidth="1"/>
    <col min="177" max="177" width="36" bestFit="1" customWidth="1"/>
    <col min="178" max="178" width="36.21875" bestFit="1" customWidth="1"/>
    <col min="179" max="179" width="39.21875" bestFit="1" customWidth="1"/>
    <col min="180" max="180" width="42.33203125" bestFit="1" customWidth="1"/>
    <col min="181" max="181" width="40.21875" bestFit="1" customWidth="1"/>
    <col min="182" max="182" width="40.77734375" bestFit="1" customWidth="1"/>
    <col min="183" max="183" width="36.44140625" bestFit="1" customWidth="1"/>
    <col min="184" max="184" width="39.5546875" bestFit="1" customWidth="1"/>
    <col min="185" max="185" width="37.21875" bestFit="1" customWidth="1"/>
    <col min="186" max="186" width="35.88671875" bestFit="1" customWidth="1"/>
    <col min="187" max="187" width="31.21875" bestFit="1" customWidth="1"/>
    <col min="188" max="188" width="33" bestFit="1" customWidth="1"/>
    <col min="189" max="189" width="27.44140625" bestFit="1" customWidth="1"/>
    <col min="190" max="190" width="33.6640625" bestFit="1" customWidth="1"/>
    <col min="191" max="191" width="25.77734375" bestFit="1" customWidth="1"/>
    <col min="192" max="192" width="29" bestFit="1" customWidth="1"/>
    <col min="193" max="193" width="32" bestFit="1" customWidth="1"/>
    <col min="194" max="194" width="29.33203125" bestFit="1" customWidth="1"/>
    <col min="195" max="195" width="40.109375" bestFit="1" customWidth="1"/>
    <col min="196" max="197" width="43.21875" bestFit="1" customWidth="1"/>
    <col min="198" max="198" width="33" bestFit="1" customWidth="1"/>
    <col min="199" max="199" width="33.6640625" bestFit="1" customWidth="1"/>
    <col min="200" max="200" width="34.6640625" bestFit="1" customWidth="1"/>
    <col min="201" max="201" width="37.77734375" bestFit="1" customWidth="1"/>
    <col min="202" max="202" width="29.21875" bestFit="1" customWidth="1"/>
    <col min="203" max="203" width="28.6640625" bestFit="1" customWidth="1"/>
    <col min="204" max="204" width="35.77734375" bestFit="1" customWidth="1"/>
    <col min="205" max="205" width="38.88671875" bestFit="1" customWidth="1"/>
    <col min="206" max="206" width="38.33203125" bestFit="1" customWidth="1"/>
    <col min="207" max="207" width="38.109375" bestFit="1" customWidth="1"/>
    <col min="208" max="208" width="35.6640625" bestFit="1" customWidth="1"/>
    <col min="209" max="209" width="41.88671875" bestFit="1" customWidth="1"/>
    <col min="210" max="211" width="44.88671875" bestFit="1" customWidth="1"/>
    <col min="212" max="212" width="36.88671875" bestFit="1" customWidth="1"/>
    <col min="213" max="213" width="37.21875" bestFit="1" customWidth="1"/>
    <col min="214" max="214" width="41.21875" bestFit="1" customWidth="1"/>
    <col min="215" max="215" width="38.33203125" bestFit="1" customWidth="1"/>
    <col min="216" max="216" width="36" bestFit="1" customWidth="1"/>
    <col min="217" max="217" width="40.77734375" bestFit="1" customWidth="1"/>
    <col min="218" max="218" width="36.88671875" bestFit="1" customWidth="1"/>
  </cols>
  <sheetData>
    <row r="1" spans="1:32" ht="14.4" customHeight="1" x14ac:dyDescent="0.3">
      <c r="A1" s="61" t="s">
        <v>473</v>
      </c>
      <c r="B1" s="61"/>
      <c r="C1" s="61"/>
      <c r="D1" s="30"/>
      <c r="E1" s="30"/>
      <c r="F1" s="57" t="s">
        <v>471</v>
      </c>
      <c r="G1" s="57"/>
      <c r="H1" s="57"/>
      <c r="I1" s="30"/>
      <c r="K1" s="59" t="s">
        <v>472</v>
      </c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32"/>
      <c r="Y1" s="32"/>
      <c r="Z1" s="32"/>
      <c r="AA1" s="32"/>
      <c r="AB1" s="32"/>
      <c r="AC1" s="32"/>
      <c r="AD1" s="32"/>
      <c r="AE1" s="32"/>
      <c r="AF1" s="32"/>
    </row>
    <row r="2" spans="1:32" ht="14.4" customHeight="1" x14ac:dyDescent="0.3">
      <c r="A2" s="61"/>
      <c r="B2" s="61"/>
      <c r="C2" s="61"/>
      <c r="D2" s="30"/>
      <c r="E2" s="30"/>
      <c r="F2" s="58"/>
      <c r="G2" s="58"/>
      <c r="H2" s="58"/>
      <c r="I2" s="3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32"/>
      <c r="Y2" s="32"/>
      <c r="Z2" s="32"/>
      <c r="AA2" s="32"/>
      <c r="AB2" s="32"/>
      <c r="AC2" s="32"/>
      <c r="AD2" s="32"/>
      <c r="AE2" s="32"/>
      <c r="AF2" s="32"/>
    </row>
    <row r="3" spans="1:32" x14ac:dyDescent="0.3">
      <c r="A3" s="24" t="s">
        <v>0</v>
      </c>
      <c r="B3" s="24" t="s">
        <v>1</v>
      </c>
      <c r="C3" s="25" t="s">
        <v>458</v>
      </c>
      <c r="F3" s="24" t="s">
        <v>0</v>
      </c>
      <c r="G3" s="24" t="s">
        <v>1</v>
      </c>
      <c r="H3" s="25" t="s">
        <v>461</v>
      </c>
      <c r="K3" s="24" t="s">
        <v>2</v>
      </c>
      <c r="L3" s="25" t="s">
        <v>462</v>
      </c>
      <c r="M3" s="25" t="s">
        <v>463</v>
      </c>
      <c r="N3" s="25" t="s">
        <v>478</v>
      </c>
      <c r="O3" s="25" t="s">
        <v>479</v>
      </c>
      <c r="P3" s="25" t="s">
        <v>480</v>
      </c>
      <c r="Q3" s="25" t="s">
        <v>457</v>
      </c>
      <c r="R3" s="25" t="s">
        <v>459</v>
      </c>
      <c r="S3" s="25" t="s">
        <v>481</v>
      </c>
      <c r="T3" s="25" t="s">
        <v>469</v>
      </c>
      <c r="U3" s="25" t="s">
        <v>468</v>
      </c>
      <c r="V3" s="25" t="s">
        <v>476</v>
      </c>
      <c r="W3" s="25" t="s">
        <v>470</v>
      </c>
    </row>
    <row r="4" spans="1:32" x14ac:dyDescent="0.3">
      <c r="A4" s="25" t="s">
        <v>20</v>
      </c>
      <c r="B4" s="25" t="s">
        <v>21</v>
      </c>
      <c r="C4" s="29">
        <v>19.657429916869201</v>
      </c>
      <c r="F4" s="25" t="s">
        <v>398</v>
      </c>
      <c r="G4" s="25" t="s">
        <v>399</v>
      </c>
      <c r="H4" s="27">
        <v>7103.923530246977</v>
      </c>
      <c r="K4" s="26" t="s">
        <v>22</v>
      </c>
      <c r="L4" s="27">
        <v>1464045</v>
      </c>
      <c r="M4" s="27">
        <v>111324460</v>
      </c>
      <c r="N4" s="28">
        <v>17352395</v>
      </c>
      <c r="O4" s="28">
        <v>676044</v>
      </c>
      <c r="P4" s="28">
        <v>41194</v>
      </c>
      <c r="Q4" s="53">
        <v>4.3235809048113451E-2</v>
      </c>
      <c r="R4" s="53">
        <v>6.0123657514092148E-2</v>
      </c>
      <c r="S4" s="27">
        <v>2.4396571428571425</v>
      </c>
      <c r="T4" s="27">
        <v>44.5822619047619</v>
      </c>
      <c r="U4" s="29">
        <v>80.791125662887396</v>
      </c>
      <c r="V4" s="29">
        <v>75.038960551075959</v>
      </c>
      <c r="W4" s="27">
        <v>2680688</v>
      </c>
    </row>
    <row r="5" spans="1:32" x14ac:dyDescent="0.3">
      <c r="A5" s="25" t="s">
        <v>23</v>
      </c>
      <c r="B5" s="25" t="s">
        <v>24</v>
      </c>
      <c r="C5" s="29">
        <v>9.5126445327766493</v>
      </c>
      <c r="F5" s="25" t="s">
        <v>114</v>
      </c>
      <c r="G5" s="25" t="s">
        <v>115</v>
      </c>
      <c r="H5" s="27">
        <v>7103.923530246977</v>
      </c>
      <c r="K5" s="26" t="s">
        <v>25</v>
      </c>
      <c r="L5" s="27">
        <v>11197820</v>
      </c>
      <c r="M5" s="27">
        <v>376734075</v>
      </c>
      <c r="N5" s="28">
        <v>46637305.306442201</v>
      </c>
      <c r="O5" s="28">
        <v>1481071</v>
      </c>
      <c r="P5" s="28">
        <v>114747.09231891471</v>
      </c>
      <c r="Q5" s="53">
        <v>3.5008806097695383E-2</v>
      </c>
      <c r="R5" s="53">
        <v>7.8408107153541309E-2</v>
      </c>
      <c r="S5" s="27">
        <v>8.2388310344827556</v>
      </c>
      <c r="T5" s="27">
        <v>175.6699054654631</v>
      </c>
      <c r="U5" s="29">
        <v>34.989245558257579</v>
      </c>
      <c r="V5" s="29">
        <v>32.643519452893507</v>
      </c>
      <c r="W5" s="27">
        <v>6417473.7543859649</v>
      </c>
    </row>
    <row r="6" spans="1:32" x14ac:dyDescent="0.3">
      <c r="A6" s="25" t="s">
        <v>26</v>
      </c>
      <c r="B6" s="25" t="s">
        <v>27</v>
      </c>
      <c r="C6" s="31"/>
      <c r="F6" s="25" t="s">
        <v>333</v>
      </c>
      <c r="G6" s="25" t="s">
        <v>334</v>
      </c>
      <c r="H6" s="27">
        <v>4762.7</v>
      </c>
      <c r="K6" s="26" t="s">
        <v>15</v>
      </c>
      <c r="L6" s="27">
        <v>6897985</v>
      </c>
      <c r="M6" s="27">
        <v>6962828</v>
      </c>
      <c r="N6" s="28">
        <v>251071985.10082534</v>
      </c>
      <c r="O6" s="28">
        <v>418566</v>
      </c>
      <c r="P6" s="28">
        <v>5760</v>
      </c>
      <c r="Q6" s="53">
        <v>4.3443005312050389E-3</v>
      </c>
      <c r="R6" s="53">
        <v>1.275391674025866E-2</v>
      </c>
      <c r="S6" s="27">
        <v>19.3508</v>
      </c>
      <c r="T6" s="27">
        <v>1917.0975874999999</v>
      </c>
      <c r="U6" s="29">
        <v>-5.9336665176189844E-2</v>
      </c>
      <c r="V6" s="29">
        <v>9.4002813865208465E-3</v>
      </c>
      <c r="W6" s="27">
        <v>4052.6875</v>
      </c>
    </row>
    <row r="7" spans="1:32" x14ac:dyDescent="0.3">
      <c r="A7" s="25" t="s">
        <v>28</v>
      </c>
      <c r="B7" s="25" t="s">
        <v>29</v>
      </c>
      <c r="C7" s="29">
        <v>17.223710122095302</v>
      </c>
      <c r="F7" s="25" t="s">
        <v>349</v>
      </c>
      <c r="G7" s="25" t="s">
        <v>350</v>
      </c>
      <c r="H7" s="27">
        <v>3378.5050000000001</v>
      </c>
      <c r="K7" s="26" t="s">
        <v>30</v>
      </c>
      <c r="L7" s="27">
        <v>8477891</v>
      </c>
      <c r="M7" s="27">
        <v>163859311</v>
      </c>
      <c r="N7" s="28">
        <v>52593569.306442201</v>
      </c>
      <c r="O7" s="28">
        <v>1484151.3329628827</v>
      </c>
      <c r="P7" s="28">
        <v>78950.399232560449</v>
      </c>
      <c r="Q7" s="53">
        <v>3.0488636786684394E-2</v>
      </c>
      <c r="R7" s="53">
        <v>5.3911880690853516E-2</v>
      </c>
      <c r="S7" s="27">
        <v>6.0751654260319583</v>
      </c>
      <c r="T7" s="27">
        <v>233.88476766010891</v>
      </c>
      <c r="U7" s="29">
        <v>19.919464759951438</v>
      </c>
      <c r="V7" s="29">
        <v>18.327838845769545</v>
      </c>
      <c r="W7" s="27">
        <v>2427834.6875</v>
      </c>
    </row>
    <row r="8" spans="1:32" x14ac:dyDescent="0.3">
      <c r="A8" s="25" t="s">
        <v>31</v>
      </c>
      <c r="B8" s="25" t="s">
        <v>32</v>
      </c>
      <c r="C8" s="29">
        <v>51.261811998191902</v>
      </c>
      <c r="F8" s="25" t="s">
        <v>347</v>
      </c>
      <c r="G8" s="25" t="s">
        <v>348</v>
      </c>
      <c r="H8" s="27">
        <v>3340.3622</v>
      </c>
      <c r="K8" s="26" t="s">
        <v>39</v>
      </c>
      <c r="L8" s="27">
        <v>19134047</v>
      </c>
      <c r="M8" s="27">
        <v>25344413</v>
      </c>
      <c r="N8" s="28">
        <v>264733195</v>
      </c>
      <c r="O8" s="28">
        <v>741974</v>
      </c>
      <c r="P8" s="28">
        <v>16030.562146177568</v>
      </c>
      <c r="Q8" s="53">
        <v>3.6600005717873562E-3</v>
      </c>
      <c r="R8" s="53">
        <v>2.12328504224134E-2</v>
      </c>
      <c r="S8" s="27">
        <v>27.412352499999997</v>
      </c>
      <c r="T8" s="27">
        <v>1536.5130327967438</v>
      </c>
      <c r="U8" s="29">
        <v>0.40376872253916885</v>
      </c>
      <c r="V8" s="29">
        <v>0.32457148244697004</v>
      </c>
      <c r="W8" s="27">
        <v>190398.81578947368</v>
      </c>
    </row>
    <row r="9" spans="1:32" x14ac:dyDescent="0.3">
      <c r="A9" s="25" t="s">
        <v>33</v>
      </c>
      <c r="B9" s="25" t="s">
        <v>34</v>
      </c>
      <c r="C9" s="29">
        <v>17.485006224777099</v>
      </c>
      <c r="F9" s="25" t="s">
        <v>112</v>
      </c>
      <c r="G9" s="25" t="s">
        <v>113</v>
      </c>
      <c r="H9" s="27">
        <v>3024.6464816227813</v>
      </c>
      <c r="K9" s="26" t="s">
        <v>453</v>
      </c>
      <c r="L9" s="27">
        <v>47171788</v>
      </c>
      <c r="M9" s="27">
        <v>684225087</v>
      </c>
      <c r="N9" s="28">
        <v>632388449.71370983</v>
      </c>
      <c r="O9" s="28">
        <v>4801806.3329628827</v>
      </c>
      <c r="P9" s="28">
        <v>256682.05369765274</v>
      </c>
      <c r="Q9" s="53">
        <v>2.7334528724571233E-2</v>
      </c>
      <c r="R9" s="53">
        <v>5.2620913088420727E-2</v>
      </c>
      <c r="S9" s="27">
        <v>10.796524033027469</v>
      </c>
      <c r="T9" s="27">
        <v>541.65462435960728</v>
      </c>
      <c r="U9" s="29">
        <v>30.53732740022976</v>
      </c>
      <c r="V9" s="29">
        <v>13.504964005180385</v>
      </c>
      <c r="W9" s="27">
        <v>2955489.027777778</v>
      </c>
    </row>
    <row r="10" spans="1:32" x14ac:dyDescent="0.3">
      <c r="A10" s="25" t="s">
        <v>35</v>
      </c>
      <c r="B10" s="25" t="s">
        <v>36</v>
      </c>
      <c r="C10" s="29">
        <v>62.158122658337597</v>
      </c>
      <c r="F10" s="25" t="s">
        <v>171</v>
      </c>
      <c r="G10" s="25" t="s">
        <v>172</v>
      </c>
      <c r="H10" s="27">
        <v>3024.6464816227813</v>
      </c>
    </row>
    <row r="11" spans="1:32" x14ac:dyDescent="0.3">
      <c r="A11" s="25" t="s">
        <v>37</v>
      </c>
      <c r="B11" s="25" t="s">
        <v>38</v>
      </c>
      <c r="C11" s="29">
        <v>-0.42035498564854101</v>
      </c>
      <c r="F11" s="25" t="s">
        <v>278</v>
      </c>
      <c r="G11" s="25" t="s">
        <v>81</v>
      </c>
      <c r="H11" s="27">
        <v>2944.5</v>
      </c>
      <c r="K11" s="56" t="s">
        <v>477</v>
      </c>
      <c r="L11" s="56"/>
      <c r="M11" s="56"/>
    </row>
    <row r="12" spans="1:32" ht="14.4" customHeight="1" x14ac:dyDescent="0.3">
      <c r="A12" s="25" t="s">
        <v>40</v>
      </c>
      <c r="B12" s="25" t="s">
        <v>41</v>
      </c>
      <c r="C12" s="29">
        <v>15.982741799102399</v>
      </c>
      <c r="F12" s="25" t="s">
        <v>183</v>
      </c>
      <c r="G12" s="25" t="s">
        <v>184</v>
      </c>
      <c r="H12" s="27">
        <v>2891.9160000000002</v>
      </c>
      <c r="K12" s="56"/>
      <c r="L12" s="56"/>
      <c r="M12" s="56"/>
    </row>
    <row r="13" spans="1:32" ht="14.4" customHeight="1" x14ac:dyDescent="0.3">
      <c r="A13" s="25" t="s">
        <v>42</v>
      </c>
      <c r="B13" s="25" t="s">
        <v>43</v>
      </c>
      <c r="C13" s="29">
        <v>38.837292515654497</v>
      </c>
      <c r="F13" s="25" t="s">
        <v>13</v>
      </c>
      <c r="G13" s="25" t="s">
        <v>14</v>
      </c>
      <c r="H13" s="27">
        <v>2524.4609</v>
      </c>
      <c r="K13" s="24" t="s">
        <v>2</v>
      </c>
      <c r="L13" s="25" t="s">
        <v>476</v>
      </c>
      <c r="M13" s="25" t="s">
        <v>475</v>
      </c>
    </row>
    <row r="14" spans="1:32" ht="14.4" customHeight="1" x14ac:dyDescent="0.3">
      <c r="A14" s="25" t="s">
        <v>44</v>
      </c>
      <c r="B14" s="25" t="s">
        <v>45</v>
      </c>
      <c r="C14" s="29">
        <v>93.9338859990674</v>
      </c>
      <c r="F14" s="25" t="s">
        <v>436</v>
      </c>
      <c r="G14" s="25" t="s">
        <v>437</v>
      </c>
      <c r="H14" s="27">
        <v>2498.1869000000002</v>
      </c>
      <c r="K14" s="26" t="s">
        <v>22</v>
      </c>
      <c r="L14" s="29">
        <v>75.038960551075959</v>
      </c>
      <c r="M14" s="28">
        <v>1</v>
      </c>
    </row>
    <row r="15" spans="1:32" x14ac:dyDescent="0.3">
      <c r="A15" s="25" t="s">
        <v>46</v>
      </c>
      <c r="B15" s="25" t="s">
        <v>47</v>
      </c>
      <c r="C15" s="31"/>
      <c r="F15" s="25" t="s">
        <v>16</v>
      </c>
      <c r="G15" s="25" t="s">
        <v>17</v>
      </c>
      <c r="H15" s="27">
        <v>2476.0909000000001</v>
      </c>
      <c r="K15" s="26" t="s">
        <v>25</v>
      </c>
      <c r="L15" s="29">
        <v>32.643519452893507</v>
      </c>
      <c r="M15" s="28">
        <v>2</v>
      </c>
    </row>
    <row r="16" spans="1:32" x14ac:dyDescent="0.3">
      <c r="A16" s="25" t="s">
        <v>48</v>
      </c>
      <c r="B16" s="25" t="s">
        <v>49</v>
      </c>
      <c r="C16" s="29">
        <v>24.829296516499699</v>
      </c>
      <c r="F16" s="25" t="s">
        <v>133</v>
      </c>
      <c r="G16" s="25" t="s">
        <v>134</v>
      </c>
      <c r="H16" s="27">
        <v>2469.8083000000001</v>
      </c>
      <c r="K16" s="26" t="s">
        <v>30</v>
      </c>
      <c r="L16" s="29">
        <v>18.327838845769545</v>
      </c>
      <c r="M16" s="28">
        <v>3</v>
      </c>
    </row>
    <row r="17" spans="1:13" x14ac:dyDescent="0.3">
      <c r="A17" s="25" t="s">
        <v>50</v>
      </c>
      <c r="B17" s="25" t="s">
        <v>51</v>
      </c>
      <c r="C17" s="29">
        <v>43.873799095596603</v>
      </c>
      <c r="F17" s="25" t="s">
        <v>430</v>
      </c>
      <c r="G17" s="25" t="s">
        <v>431</v>
      </c>
      <c r="H17" s="27">
        <v>1971.9114</v>
      </c>
      <c r="K17" s="26" t="s">
        <v>39</v>
      </c>
      <c r="L17" s="29">
        <v>0.32457148244697004</v>
      </c>
      <c r="M17" s="28">
        <v>4</v>
      </c>
    </row>
    <row r="18" spans="1:13" x14ac:dyDescent="0.3">
      <c r="A18" s="25" t="s">
        <v>52</v>
      </c>
      <c r="B18" s="25" t="s">
        <v>53</v>
      </c>
      <c r="C18" s="29">
        <v>33.758624839537902</v>
      </c>
      <c r="F18" s="25" t="s">
        <v>62</v>
      </c>
      <c r="G18" s="25" t="s">
        <v>63</v>
      </c>
      <c r="H18" s="27">
        <v>1959.0488</v>
      </c>
      <c r="K18" s="26" t="s">
        <v>15</v>
      </c>
      <c r="L18" s="29">
        <v>9.4002813865208465E-3</v>
      </c>
      <c r="M18" s="28">
        <v>5</v>
      </c>
    </row>
    <row r="19" spans="1:13" x14ac:dyDescent="0.3">
      <c r="A19" s="25" t="s">
        <v>54</v>
      </c>
      <c r="B19" s="25" t="s">
        <v>55</v>
      </c>
      <c r="C19" s="29">
        <v>77.978693924416802</v>
      </c>
      <c r="F19" s="25" t="s">
        <v>363</v>
      </c>
      <c r="G19" s="25" t="s">
        <v>310</v>
      </c>
      <c r="H19" s="27">
        <v>1872.7333000000001</v>
      </c>
    </row>
    <row r="20" spans="1:13" x14ac:dyDescent="0.3">
      <c r="A20" s="25" t="s">
        <v>56</v>
      </c>
      <c r="B20" s="25" t="s">
        <v>57</v>
      </c>
      <c r="C20" s="29">
        <v>0.24718143359268099</v>
      </c>
      <c r="F20" s="25" t="s">
        <v>293</v>
      </c>
      <c r="G20" s="25" t="s">
        <v>294</v>
      </c>
      <c r="H20" s="27">
        <v>1827.0918999999999</v>
      </c>
    </row>
    <row r="21" spans="1:13" x14ac:dyDescent="0.3">
      <c r="A21" s="25" t="s">
        <v>58</v>
      </c>
      <c r="B21" s="25" t="s">
        <v>59</v>
      </c>
      <c r="C21" s="29">
        <v>6.1243838622552298</v>
      </c>
      <c r="F21" s="25" t="s">
        <v>285</v>
      </c>
      <c r="G21" s="25" t="s">
        <v>286</v>
      </c>
      <c r="H21" s="27">
        <v>1810.7224000000001</v>
      </c>
    </row>
    <row r="22" spans="1:13" x14ac:dyDescent="0.3">
      <c r="A22" s="25" t="s">
        <v>60</v>
      </c>
      <c r="B22" s="25" t="s">
        <v>61</v>
      </c>
      <c r="C22" s="31"/>
      <c r="F22" s="25" t="s">
        <v>129</v>
      </c>
      <c r="G22" s="25" t="s">
        <v>130</v>
      </c>
      <c r="H22" s="27">
        <v>1769.1237000000001</v>
      </c>
    </row>
    <row r="23" spans="1:13" ht="14.4" customHeight="1" x14ac:dyDescent="0.3">
      <c r="A23" s="25" t="s">
        <v>62</v>
      </c>
      <c r="B23" s="25" t="s">
        <v>63</v>
      </c>
      <c r="C23" s="29">
        <v>-0.56679241211306297</v>
      </c>
      <c r="F23" s="25" t="s">
        <v>268</v>
      </c>
      <c r="G23" s="25" t="s">
        <v>269</v>
      </c>
      <c r="H23" s="27">
        <v>1760.0672999999999</v>
      </c>
    </row>
    <row r="24" spans="1:13" x14ac:dyDescent="0.3">
      <c r="A24" s="25" t="s">
        <v>64</v>
      </c>
      <c r="B24" s="25" t="s">
        <v>65</v>
      </c>
      <c r="C24" s="29">
        <v>11.779311461256199</v>
      </c>
      <c r="F24" s="25" t="s">
        <v>56</v>
      </c>
      <c r="G24" s="25" t="s">
        <v>57</v>
      </c>
      <c r="H24" s="27">
        <v>1643.0778</v>
      </c>
    </row>
    <row r="25" spans="1:13" x14ac:dyDescent="0.3">
      <c r="A25" s="25" t="s">
        <v>66</v>
      </c>
      <c r="B25" s="25" t="s">
        <v>67</v>
      </c>
      <c r="C25" s="29">
        <v>-0.57201010763004401</v>
      </c>
      <c r="F25" s="25" t="s">
        <v>221</v>
      </c>
      <c r="G25" s="25" t="s">
        <v>222</v>
      </c>
      <c r="H25" s="27">
        <v>1623.3320000000001</v>
      </c>
    </row>
    <row r="26" spans="1:13" x14ac:dyDescent="0.3">
      <c r="A26" s="25" t="s">
        <v>68</v>
      </c>
      <c r="B26" s="25" t="s">
        <v>69</v>
      </c>
      <c r="C26" s="29">
        <v>1.6322185919713601</v>
      </c>
      <c r="F26" s="25" t="s">
        <v>307</v>
      </c>
      <c r="G26" s="25" t="s">
        <v>308</v>
      </c>
      <c r="H26" s="27">
        <v>1604.8525999999999</v>
      </c>
    </row>
    <row r="27" spans="1:13" x14ac:dyDescent="0.3">
      <c r="A27" s="25" t="s">
        <v>70</v>
      </c>
      <c r="B27" s="25" t="s">
        <v>71</v>
      </c>
      <c r="C27" s="29">
        <v>0.63050513100961203</v>
      </c>
      <c r="F27" s="25" t="s">
        <v>276</v>
      </c>
      <c r="G27" s="25" t="s">
        <v>277</v>
      </c>
      <c r="H27" s="27">
        <v>1595.5528999999999</v>
      </c>
    </row>
    <row r="28" spans="1:13" x14ac:dyDescent="0.3">
      <c r="A28" s="25" t="s">
        <v>72</v>
      </c>
      <c r="B28" s="25" t="s">
        <v>73</v>
      </c>
      <c r="C28" s="29">
        <v>5.9966980673982704</v>
      </c>
      <c r="F28" s="25" t="s">
        <v>195</v>
      </c>
      <c r="G28" s="25" t="s">
        <v>196</v>
      </c>
      <c r="H28" s="27">
        <v>1560.1413</v>
      </c>
    </row>
    <row r="29" spans="1:13" x14ac:dyDescent="0.3">
      <c r="A29" s="25" t="s">
        <v>74</v>
      </c>
      <c r="B29" s="25" t="s">
        <v>75</v>
      </c>
      <c r="C29" s="29">
        <v>36.159171298635698</v>
      </c>
      <c r="F29" s="25" t="s">
        <v>241</v>
      </c>
      <c r="G29" s="25" t="s">
        <v>242</v>
      </c>
      <c r="H29" s="27">
        <v>1535.8487</v>
      </c>
    </row>
    <row r="30" spans="1:13" x14ac:dyDescent="0.3">
      <c r="A30" s="25" t="s">
        <v>76</v>
      </c>
      <c r="B30" s="25" t="s">
        <v>77</v>
      </c>
      <c r="C30" s="29">
        <v>2.5117285998484999</v>
      </c>
      <c r="F30" s="25" t="s">
        <v>370</v>
      </c>
      <c r="G30" s="25" t="s">
        <v>371</v>
      </c>
      <c r="H30" s="27">
        <v>1519.0862</v>
      </c>
    </row>
    <row r="31" spans="1:13" x14ac:dyDescent="0.3">
      <c r="A31" s="25" t="s">
        <v>78</v>
      </c>
      <c r="B31" s="25" t="s">
        <v>79</v>
      </c>
      <c r="C31" s="29">
        <v>85.5598257351797</v>
      </c>
      <c r="F31" s="25" t="s">
        <v>274</v>
      </c>
      <c r="G31" s="25" t="s">
        <v>275</v>
      </c>
      <c r="H31" s="27">
        <v>1437.9558999999999</v>
      </c>
    </row>
    <row r="32" spans="1:13" x14ac:dyDescent="0.3">
      <c r="A32" s="25" t="s">
        <v>80</v>
      </c>
      <c r="B32" s="25" t="s">
        <v>81</v>
      </c>
      <c r="C32" s="29">
        <v>-0.25191297040173399</v>
      </c>
      <c r="F32" s="25" t="s">
        <v>86</v>
      </c>
      <c r="G32" s="25" t="s">
        <v>87</v>
      </c>
      <c r="H32" s="27">
        <v>1432.8178</v>
      </c>
    </row>
    <row r="33" spans="1:8" x14ac:dyDescent="0.3">
      <c r="A33" s="25" t="s">
        <v>82</v>
      </c>
      <c r="B33" s="25" t="s">
        <v>83</v>
      </c>
      <c r="C33" s="29">
        <v>73.524967148488798</v>
      </c>
      <c r="F33" s="25" t="s">
        <v>339</v>
      </c>
      <c r="G33" s="25" t="s">
        <v>340</v>
      </c>
      <c r="H33" s="27">
        <v>1386.6168</v>
      </c>
    </row>
    <row r="34" spans="1:8" x14ac:dyDescent="0.3">
      <c r="A34" s="25" t="s">
        <v>84</v>
      </c>
      <c r="B34" s="25" t="s">
        <v>85</v>
      </c>
      <c r="C34" s="29">
        <v>7.2161511124458801</v>
      </c>
      <c r="F34" s="25" t="s">
        <v>37</v>
      </c>
      <c r="G34" s="25" t="s">
        <v>38</v>
      </c>
      <c r="H34" s="27">
        <v>1386.2101</v>
      </c>
    </row>
    <row r="35" spans="1:8" x14ac:dyDescent="0.3">
      <c r="A35" s="25" t="s">
        <v>86</v>
      </c>
      <c r="B35" s="25" t="s">
        <v>87</v>
      </c>
      <c r="C35" s="29">
        <v>-0.70518845618234804</v>
      </c>
      <c r="F35" s="25" t="s">
        <v>229</v>
      </c>
      <c r="G35" s="25" t="s">
        <v>230</v>
      </c>
      <c r="H35" s="27">
        <v>1307.6463000000001</v>
      </c>
    </row>
    <row r="36" spans="1:8" x14ac:dyDescent="0.3">
      <c r="A36" s="25" t="s">
        <v>88</v>
      </c>
      <c r="B36" s="25" t="s">
        <v>89</v>
      </c>
      <c r="C36" s="29">
        <v>1.05247112014435</v>
      </c>
      <c r="F36" s="25" t="s">
        <v>283</v>
      </c>
      <c r="G36" s="25" t="s">
        <v>284</v>
      </c>
      <c r="H36" s="27">
        <v>1276.9896000000001</v>
      </c>
    </row>
    <row r="37" spans="1:8" x14ac:dyDescent="0.3">
      <c r="A37" s="25" t="s">
        <v>90</v>
      </c>
      <c r="B37" s="25" t="s">
        <v>91</v>
      </c>
      <c r="C37" s="29">
        <v>7.4822888448508902</v>
      </c>
      <c r="F37" s="25" t="s">
        <v>92</v>
      </c>
      <c r="G37" s="25" t="s">
        <v>93</v>
      </c>
      <c r="H37" s="27">
        <v>1219.4937</v>
      </c>
    </row>
    <row r="38" spans="1:8" x14ac:dyDescent="0.3">
      <c r="A38" s="25" t="s">
        <v>92</v>
      </c>
      <c r="B38" s="25" t="s">
        <v>93</v>
      </c>
      <c r="C38" s="29">
        <v>-0.790013049022806</v>
      </c>
      <c r="F38" s="25" t="s">
        <v>213</v>
      </c>
      <c r="G38" s="25" t="s">
        <v>214</v>
      </c>
      <c r="H38" s="27">
        <v>1164.5682999999999</v>
      </c>
    </row>
    <row r="39" spans="1:8" x14ac:dyDescent="0.3">
      <c r="A39" s="25" t="s">
        <v>94</v>
      </c>
      <c r="B39" s="25" t="s">
        <v>95</v>
      </c>
      <c r="C39" s="29">
        <v>102.092038302557</v>
      </c>
      <c r="F39" s="25" t="s">
        <v>100</v>
      </c>
      <c r="G39" s="25" t="s">
        <v>101</v>
      </c>
      <c r="H39" s="27">
        <v>1138.1513</v>
      </c>
    </row>
    <row r="40" spans="1:8" x14ac:dyDescent="0.3">
      <c r="A40" s="25" t="s">
        <v>96</v>
      </c>
      <c r="B40" s="25" t="s">
        <v>97</v>
      </c>
      <c r="C40" s="29">
        <v>52.381394679050999</v>
      </c>
      <c r="F40" s="25" t="s">
        <v>243</v>
      </c>
      <c r="G40" s="25" t="s">
        <v>244</v>
      </c>
      <c r="H40" s="27">
        <v>1129.5672</v>
      </c>
    </row>
    <row r="41" spans="1:8" x14ac:dyDescent="0.3">
      <c r="A41" s="25" t="s">
        <v>98</v>
      </c>
      <c r="B41" s="25" t="s">
        <v>99</v>
      </c>
      <c r="C41" s="29">
        <v>1.83683969359193</v>
      </c>
      <c r="F41" s="25" t="s">
        <v>424</v>
      </c>
      <c r="G41" s="25" t="s">
        <v>425</v>
      </c>
      <c r="H41" s="27">
        <v>1128.0367000000001</v>
      </c>
    </row>
    <row r="42" spans="1:8" x14ac:dyDescent="0.3">
      <c r="A42" s="25" t="s">
        <v>100</v>
      </c>
      <c r="B42" s="25" t="s">
        <v>101</v>
      </c>
      <c r="C42" s="29">
        <v>-0.797122957275054</v>
      </c>
      <c r="F42" s="25" t="s">
        <v>46</v>
      </c>
      <c r="G42" s="25" t="s">
        <v>47</v>
      </c>
      <c r="H42" s="27">
        <v>1101.7592</v>
      </c>
    </row>
    <row r="43" spans="1:8" x14ac:dyDescent="0.3">
      <c r="A43" s="25" t="s">
        <v>102</v>
      </c>
      <c r="B43" s="25" t="s">
        <v>103</v>
      </c>
      <c r="C43" s="29">
        <v>4.69483563451577</v>
      </c>
      <c r="F43" s="25" t="s">
        <v>110</v>
      </c>
      <c r="G43" s="25" t="s">
        <v>111</v>
      </c>
      <c r="H43" s="27">
        <v>1101.1156353740766</v>
      </c>
    </row>
    <row r="44" spans="1:8" x14ac:dyDescent="0.3">
      <c r="A44" s="25" t="s">
        <v>104</v>
      </c>
      <c r="B44" s="25" t="s">
        <v>105</v>
      </c>
      <c r="C44" s="29">
        <v>19.619098043785598</v>
      </c>
      <c r="F44" s="25" t="s">
        <v>372</v>
      </c>
      <c r="G44" s="25" t="s">
        <v>373</v>
      </c>
      <c r="H44" s="27">
        <v>1039.0378000000001</v>
      </c>
    </row>
    <row r="45" spans="1:8" x14ac:dyDescent="0.3">
      <c r="A45" s="25" t="s">
        <v>106</v>
      </c>
      <c r="B45" s="25" t="s">
        <v>107</v>
      </c>
      <c r="C45" s="29">
        <v>30.8360441367345</v>
      </c>
      <c r="F45" s="25" t="s">
        <v>315</v>
      </c>
      <c r="G45" s="25" t="s">
        <v>316</v>
      </c>
      <c r="H45" s="27">
        <v>1035.702</v>
      </c>
    </row>
    <row r="46" spans="1:8" x14ac:dyDescent="0.3">
      <c r="A46" s="25" t="s">
        <v>108</v>
      </c>
      <c r="B46" s="25" t="s">
        <v>109</v>
      </c>
      <c r="C46" s="29">
        <v>3.3038527650349798</v>
      </c>
      <c r="F46" s="25" t="s">
        <v>245</v>
      </c>
      <c r="G46" s="25" t="s">
        <v>246</v>
      </c>
      <c r="H46" s="27">
        <v>1012.5167</v>
      </c>
    </row>
    <row r="47" spans="1:8" x14ac:dyDescent="0.3">
      <c r="A47" s="25" t="s">
        <v>110</v>
      </c>
      <c r="B47" s="25" t="s">
        <v>111</v>
      </c>
      <c r="C47" s="29">
        <v>90.478993623214393</v>
      </c>
      <c r="F47" s="25" t="s">
        <v>343</v>
      </c>
      <c r="G47" s="25" t="s">
        <v>344</v>
      </c>
      <c r="H47" s="27">
        <v>989.42859999999996</v>
      </c>
    </row>
    <row r="48" spans="1:8" x14ac:dyDescent="0.3">
      <c r="A48" s="25" t="s">
        <v>112</v>
      </c>
      <c r="B48" s="25" t="s">
        <v>113</v>
      </c>
      <c r="C48" s="29">
        <v>-0.55265293001041005</v>
      </c>
      <c r="F48" s="25" t="s">
        <v>139</v>
      </c>
      <c r="G48" s="25" t="s">
        <v>140</v>
      </c>
      <c r="H48" s="27">
        <v>982.93579999999997</v>
      </c>
    </row>
    <row r="49" spans="1:8" x14ac:dyDescent="0.3">
      <c r="A49" s="25" t="s">
        <v>114</v>
      </c>
      <c r="B49" s="25" t="s">
        <v>115</v>
      </c>
      <c r="C49" s="29">
        <v>22.117727444857302</v>
      </c>
      <c r="F49" s="25" t="s">
        <v>76</v>
      </c>
      <c r="G49" s="25" t="s">
        <v>77</v>
      </c>
      <c r="H49" s="27">
        <v>982.40599999999995</v>
      </c>
    </row>
    <row r="50" spans="1:8" x14ac:dyDescent="0.3">
      <c r="A50" s="25" t="s">
        <v>116</v>
      </c>
      <c r="B50" s="25" t="s">
        <v>113</v>
      </c>
      <c r="C50" s="29">
        <v>58.810291075341098</v>
      </c>
      <c r="F50" s="25" t="s">
        <v>66</v>
      </c>
      <c r="G50" s="25" t="s">
        <v>67</v>
      </c>
      <c r="H50" s="27">
        <v>976.94389999999999</v>
      </c>
    </row>
    <row r="51" spans="1:8" x14ac:dyDescent="0.3">
      <c r="A51" s="25" t="s">
        <v>117</v>
      </c>
      <c r="B51" s="25" t="s">
        <v>118</v>
      </c>
      <c r="C51" s="29">
        <v>4.4601386360453699</v>
      </c>
      <c r="F51" s="25" t="s">
        <v>68</v>
      </c>
      <c r="G51" s="25" t="s">
        <v>69</v>
      </c>
      <c r="H51" s="27">
        <v>904.38520000000005</v>
      </c>
    </row>
    <row r="52" spans="1:8" x14ac:dyDescent="0.3">
      <c r="A52" s="25" t="s">
        <v>119</v>
      </c>
      <c r="B52" s="25" t="s">
        <v>120</v>
      </c>
      <c r="C52" s="29">
        <v>35.102891748675198</v>
      </c>
      <c r="F52" s="25" t="s">
        <v>355</v>
      </c>
      <c r="G52" s="25" t="s">
        <v>356</v>
      </c>
      <c r="H52" s="27">
        <v>857.54669999999999</v>
      </c>
    </row>
    <row r="53" spans="1:8" x14ac:dyDescent="0.3">
      <c r="A53" s="25" t="s">
        <v>121</v>
      </c>
      <c r="B53" s="25" t="s">
        <v>122</v>
      </c>
      <c r="C53" s="29">
        <v>99.335681347808702</v>
      </c>
      <c r="F53" s="25" t="s">
        <v>80</v>
      </c>
      <c r="G53" s="25" t="s">
        <v>81</v>
      </c>
      <c r="H53" s="27">
        <v>840.19259999999997</v>
      </c>
    </row>
    <row r="54" spans="1:8" x14ac:dyDescent="0.3">
      <c r="A54" s="25" t="s">
        <v>123</v>
      </c>
      <c r="B54" s="25" t="s">
        <v>124</v>
      </c>
      <c r="C54" s="29">
        <v>28.714655689322999</v>
      </c>
      <c r="F54" s="25" t="s">
        <v>251</v>
      </c>
      <c r="G54" s="25" t="s">
        <v>252</v>
      </c>
      <c r="H54" s="27">
        <v>754.69140000000004</v>
      </c>
    </row>
    <row r="55" spans="1:8" x14ac:dyDescent="0.3">
      <c r="A55" s="25" t="s">
        <v>125</v>
      </c>
      <c r="B55" s="25" t="s">
        <v>126</v>
      </c>
      <c r="C55" s="29">
        <v>35.8472575445061</v>
      </c>
      <c r="F55" s="25" t="s">
        <v>141</v>
      </c>
      <c r="G55" s="25" t="s">
        <v>142</v>
      </c>
      <c r="H55" s="27">
        <v>704.52560000000005</v>
      </c>
    </row>
    <row r="56" spans="1:8" x14ac:dyDescent="0.3">
      <c r="A56" s="25" t="s">
        <v>127</v>
      </c>
      <c r="B56" s="25" t="s">
        <v>128</v>
      </c>
      <c r="C56" s="29">
        <v>1.36506604840565</v>
      </c>
      <c r="F56" s="25" t="s">
        <v>127</v>
      </c>
      <c r="G56" s="25" t="s">
        <v>128</v>
      </c>
      <c r="H56" s="27">
        <v>700.68240000000003</v>
      </c>
    </row>
    <row r="57" spans="1:8" x14ac:dyDescent="0.3">
      <c r="A57" s="25" t="s">
        <v>129</v>
      </c>
      <c r="B57" s="25" t="s">
        <v>130</v>
      </c>
      <c r="C57" s="29">
        <v>0.67535411797956002</v>
      </c>
      <c r="F57" s="25" t="s">
        <v>70</v>
      </c>
      <c r="G57" s="25" t="s">
        <v>71</v>
      </c>
      <c r="H57" s="27">
        <v>683.72749999999996</v>
      </c>
    </row>
    <row r="58" spans="1:8" x14ac:dyDescent="0.3">
      <c r="A58" s="25" t="s">
        <v>131</v>
      </c>
      <c r="B58" s="25" t="s">
        <v>132</v>
      </c>
      <c r="C58" s="29">
        <v>9.0384544351879992</v>
      </c>
      <c r="F58" s="25" t="s">
        <v>319</v>
      </c>
      <c r="G58" s="25" t="s">
        <v>320</v>
      </c>
      <c r="H58" s="27">
        <v>661.56799999999998</v>
      </c>
    </row>
    <row r="59" spans="1:8" x14ac:dyDescent="0.3">
      <c r="A59" s="25" t="s">
        <v>133</v>
      </c>
      <c r="B59" s="25" t="s">
        <v>134</v>
      </c>
      <c r="C59" s="29">
        <v>-0.69447696683615801</v>
      </c>
      <c r="F59" s="25" t="s">
        <v>335</v>
      </c>
      <c r="G59" s="25" t="s">
        <v>336</v>
      </c>
      <c r="H59" s="27">
        <v>648.0127</v>
      </c>
    </row>
    <row r="60" spans="1:8" x14ac:dyDescent="0.3">
      <c r="A60" s="25" t="s">
        <v>135</v>
      </c>
      <c r="B60" s="25" t="s">
        <v>136</v>
      </c>
      <c r="C60" s="29">
        <v>24.354839738987501</v>
      </c>
      <c r="F60" s="25" t="s">
        <v>18</v>
      </c>
      <c r="G60" s="25" t="s">
        <v>19</v>
      </c>
      <c r="H60" s="27">
        <v>626.60140000000001</v>
      </c>
    </row>
    <row r="61" spans="1:8" x14ac:dyDescent="0.3">
      <c r="A61" s="25" t="s">
        <v>137</v>
      </c>
      <c r="B61" s="25" t="s">
        <v>138</v>
      </c>
      <c r="C61" s="29">
        <v>4.97852166775409</v>
      </c>
      <c r="F61" s="25" t="s">
        <v>345</v>
      </c>
      <c r="G61" s="25" t="s">
        <v>346</v>
      </c>
      <c r="H61" s="27">
        <v>605.45209999999997</v>
      </c>
    </row>
    <row r="62" spans="1:8" x14ac:dyDescent="0.3">
      <c r="A62" s="25" t="s">
        <v>139</v>
      </c>
      <c r="B62" s="25" t="s">
        <v>140</v>
      </c>
      <c r="C62" s="29">
        <v>0.72012795891387305</v>
      </c>
      <c r="F62" s="25" t="s">
        <v>108</v>
      </c>
      <c r="G62" s="25" t="s">
        <v>109</v>
      </c>
      <c r="H62" s="27">
        <v>550.22289999999998</v>
      </c>
    </row>
    <row r="63" spans="1:8" x14ac:dyDescent="0.3">
      <c r="A63" s="25" t="s">
        <v>141</v>
      </c>
      <c r="B63" s="25" t="s">
        <v>142</v>
      </c>
      <c r="C63" s="29">
        <v>2.9579978735074901</v>
      </c>
      <c r="F63" s="25" t="s">
        <v>137</v>
      </c>
      <c r="G63" s="25" t="s">
        <v>138</v>
      </c>
      <c r="H63" s="27">
        <v>302.63060000000002</v>
      </c>
    </row>
    <row r="64" spans="1:8" x14ac:dyDescent="0.3">
      <c r="A64" s="25" t="s">
        <v>143</v>
      </c>
      <c r="B64" s="25" t="s">
        <v>144</v>
      </c>
      <c r="C64" s="29">
        <v>74.117683727344001</v>
      </c>
      <c r="F64" s="25" t="s">
        <v>364</v>
      </c>
      <c r="G64" s="25" t="s">
        <v>365</v>
      </c>
      <c r="H64" s="27">
        <v>277.56659999999999</v>
      </c>
    </row>
    <row r="65" spans="1:8" x14ac:dyDescent="0.3">
      <c r="A65" s="25" t="s">
        <v>145</v>
      </c>
      <c r="B65" s="25" t="s">
        <v>146</v>
      </c>
      <c r="C65" s="29">
        <v>43.319979188345499</v>
      </c>
      <c r="F65" s="25" t="s">
        <v>419</v>
      </c>
      <c r="G65" s="25" t="s">
        <v>420</v>
      </c>
      <c r="H65" s="27">
        <v>260.99700000000001</v>
      </c>
    </row>
    <row r="66" spans="1:8" x14ac:dyDescent="0.3">
      <c r="A66" s="25" t="s">
        <v>147</v>
      </c>
      <c r="B66" s="25" t="s">
        <v>148</v>
      </c>
      <c r="C66" s="29">
        <v>26.627817503497599</v>
      </c>
      <c r="F66" s="25" t="s">
        <v>402</v>
      </c>
      <c r="G66" s="25" t="s">
        <v>399</v>
      </c>
      <c r="H66" s="27">
        <v>248.94280000000001</v>
      </c>
    </row>
    <row r="67" spans="1:8" x14ac:dyDescent="0.3">
      <c r="A67" s="25" t="s">
        <v>149</v>
      </c>
      <c r="B67" s="25" t="s">
        <v>150</v>
      </c>
      <c r="C67" s="29">
        <v>16.5337415348666</v>
      </c>
      <c r="F67" s="25" t="s">
        <v>167</v>
      </c>
      <c r="G67" s="25" t="s">
        <v>168</v>
      </c>
      <c r="H67" s="27">
        <v>223.75489999999999</v>
      </c>
    </row>
    <row r="68" spans="1:8" x14ac:dyDescent="0.3">
      <c r="A68" s="25" t="s">
        <v>151</v>
      </c>
      <c r="B68" s="25" t="s">
        <v>152</v>
      </c>
      <c r="C68" s="29">
        <v>10.2692932953663</v>
      </c>
      <c r="F68" s="25" t="s">
        <v>413</v>
      </c>
      <c r="G68" s="25" t="s">
        <v>414</v>
      </c>
      <c r="H68" s="27">
        <v>219.95869999999999</v>
      </c>
    </row>
    <row r="69" spans="1:8" x14ac:dyDescent="0.3">
      <c r="A69" s="25" t="s">
        <v>153</v>
      </c>
      <c r="B69" s="25" t="s">
        <v>154</v>
      </c>
      <c r="C69" s="29">
        <v>12.822870240672399</v>
      </c>
      <c r="F69" s="25" t="s">
        <v>422</v>
      </c>
      <c r="G69" s="25" t="s">
        <v>423</v>
      </c>
      <c r="H69" s="27">
        <v>193.90870000000001</v>
      </c>
    </row>
    <row r="70" spans="1:8" x14ac:dyDescent="0.3">
      <c r="A70" s="25" t="s">
        <v>155</v>
      </c>
      <c r="B70" s="25" t="s">
        <v>156</v>
      </c>
      <c r="C70" s="29">
        <v>42.3367021690119</v>
      </c>
      <c r="F70" s="25" t="s">
        <v>84</v>
      </c>
      <c r="G70" s="25" t="s">
        <v>85</v>
      </c>
      <c r="H70" s="27">
        <v>192.3321</v>
      </c>
    </row>
    <row r="71" spans="1:8" x14ac:dyDescent="0.3">
      <c r="A71" s="25" t="s">
        <v>157</v>
      </c>
      <c r="B71" s="25" t="s">
        <v>158</v>
      </c>
      <c r="C71" s="29">
        <v>113.82971593937999</v>
      </c>
      <c r="F71" s="25" t="s">
        <v>90</v>
      </c>
      <c r="G71" s="25" t="s">
        <v>91</v>
      </c>
      <c r="H71" s="27">
        <v>188.79750000000001</v>
      </c>
    </row>
    <row r="72" spans="1:8" x14ac:dyDescent="0.3">
      <c r="A72" s="25" t="s">
        <v>159</v>
      </c>
      <c r="B72" s="25" t="s">
        <v>160</v>
      </c>
      <c r="C72" s="29">
        <v>14.426707873034299</v>
      </c>
      <c r="F72" s="25" t="s">
        <v>388</v>
      </c>
      <c r="G72" s="25" t="s">
        <v>389</v>
      </c>
      <c r="H72" s="27">
        <v>185.58109999999999</v>
      </c>
    </row>
    <row r="73" spans="1:8" x14ac:dyDescent="0.3">
      <c r="A73" s="25" t="s">
        <v>161</v>
      </c>
      <c r="B73" s="25" t="s">
        <v>162</v>
      </c>
      <c r="C73" s="29">
        <v>20.3678690181249</v>
      </c>
      <c r="F73" s="25" t="s">
        <v>207</v>
      </c>
      <c r="G73" s="25" t="s">
        <v>208</v>
      </c>
      <c r="H73" s="27">
        <v>185.10300000000001</v>
      </c>
    </row>
    <row r="74" spans="1:8" x14ac:dyDescent="0.3">
      <c r="A74" s="25" t="s">
        <v>163</v>
      </c>
      <c r="B74" s="25" t="s">
        <v>164</v>
      </c>
      <c r="C74" s="29">
        <v>27.221380243572401</v>
      </c>
      <c r="F74" s="25" t="s">
        <v>223</v>
      </c>
      <c r="G74" s="25" t="s">
        <v>224</v>
      </c>
      <c r="H74" s="27">
        <v>181.185</v>
      </c>
    </row>
    <row r="75" spans="1:8" x14ac:dyDescent="0.3">
      <c r="A75" s="25" t="s">
        <v>165</v>
      </c>
      <c r="B75" s="25" t="s">
        <v>166</v>
      </c>
      <c r="C75" s="29">
        <v>104.89683672775701</v>
      </c>
      <c r="F75" s="25" t="s">
        <v>313</v>
      </c>
      <c r="G75" s="25" t="s">
        <v>314</v>
      </c>
      <c r="H75" s="27">
        <v>180.98150000000001</v>
      </c>
    </row>
    <row r="76" spans="1:8" x14ac:dyDescent="0.3">
      <c r="A76" s="25" t="s">
        <v>167</v>
      </c>
      <c r="B76" s="25" t="s">
        <v>168</v>
      </c>
      <c r="C76" s="29">
        <v>13.8518820650274</v>
      </c>
      <c r="F76" s="25" t="s">
        <v>131</v>
      </c>
      <c r="G76" s="25" t="s">
        <v>132</v>
      </c>
      <c r="H76" s="27">
        <v>180.81319999999999</v>
      </c>
    </row>
    <row r="77" spans="1:8" x14ac:dyDescent="0.3">
      <c r="A77" s="25" t="s">
        <v>169</v>
      </c>
      <c r="B77" s="25" t="s">
        <v>170</v>
      </c>
      <c r="C77" s="29">
        <v>5.99862562237643</v>
      </c>
      <c r="F77" s="25" t="s">
        <v>253</v>
      </c>
      <c r="G77" s="25" t="s">
        <v>178</v>
      </c>
      <c r="H77" s="27">
        <v>179.80199999999999</v>
      </c>
    </row>
    <row r="78" spans="1:8" x14ac:dyDescent="0.3">
      <c r="A78" s="25" t="s">
        <v>171</v>
      </c>
      <c r="B78" s="25" t="s">
        <v>172</v>
      </c>
      <c r="C78" s="29">
        <v>4.8250321464741299</v>
      </c>
      <c r="F78" s="25" t="s">
        <v>153</v>
      </c>
      <c r="G78" s="25" t="s">
        <v>154</v>
      </c>
      <c r="H78" s="27">
        <v>178.8159</v>
      </c>
    </row>
    <row r="79" spans="1:8" x14ac:dyDescent="0.3">
      <c r="A79" s="25" t="s">
        <v>173</v>
      </c>
      <c r="B79" s="25" t="s">
        <v>174</v>
      </c>
      <c r="C79" s="29">
        <v>18.246312370802901</v>
      </c>
      <c r="F79" s="25" t="s">
        <v>151</v>
      </c>
      <c r="G79" s="25" t="s">
        <v>152</v>
      </c>
      <c r="H79" s="27">
        <v>175.75069999999999</v>
      </c>
    </row>
    <row r="80" spans="1:8" x14ac:dyDescent="0.3">
      <c r="A80" s="25" t="s">
        <v>175</v>
      </c>
      <c r="B80" s="25" t="s">
        <v>176</v>
      </c>
      <c r="C80" s="29">
        <v>16.923092785934799</v>
      </c>
      <c r="F80" s="25" t="s">
        <v>272</v>
      </c>
      <c r="G80" s="25" t="s">
        <v>273</v>
      </c>
      <c r="H80" s="27">
        <v>173.0847</v>
      </c>
    </row>
    <row r="81" spans="1:8" x14ac:dyDescent="0.3">
      <c r="A81" s="25" t="s">
        <v>177</v>
      </c>
      <c r="B81" s="25" t="s">
        <v>178</v>
      </c>
      <c r="C81" s="29">
        <v>22.5849483626092</v>
      </c>
      <c r="F81" s="25" t="s">
        <v>279</v>
      </c>
      <c r="G81" s="25" t="s">
        <v>280</v>
      </c>
      <c r="H81" s="27">
        <v>172.89750000000001</v>
      </c>
    </row>
    <row r="82" spans="1:8" x14ac:dyDescent="0.3">
      <c r="A82" s="25" t="s">
        <v>179</v>
      </c>
      <c r="B82" s="25" t="s">
        <v>180</v>
      </c>
      <c r="C82" s="29">
        <v>12.845884384507899</v>
      </c>
      <c r="F82" s="25" t="s">
        <v>415</v>
      </c>
      <c r="G82" s="25" t="s">
        <v>416</v>
      </c>
      <c r="H82" s="27">
        <v>172.1354</v>
      </c>
    </row>
    <row r="83" spans="1:8" x14ac:dyDescent="0.3">
      <c r="A83" s="25" t="s">
        <v>181</v>
      </c>
      <c r="B83" s="25" t="s">
        <v>182</v>
      </c>
      <c r="C83" s="29">
        <v>11.5894929237373</v>
      </c>
      <c r="F83" s="25" t="s">
        <v>281</v>
      </c>
      <c r="G83" s="25" t="s">
        <v>282</v>
      </c>
      <c r="H83" s="27">
        <v>172.036</v>
      </c>
    </row>
    <row r="84" spans="1:8" x14ac:dyDescent="0.3">
      <c r="A84" s="25" t="s">
        <v>183</v>
      </c>
      <c r="B84" s="25" t="s">
        <v>184</v>
      </c>
      <c r="C84" s="29">
        <v>-0.73779704653365796</v>
      </c>
      <c r="F84" s="25" t="s">
        <v>258</v>
      </c>
      <c r="G84" s="25" t="s">
        <v>259</v>
      </c>
      <c r="H84" s="27">
        <v>171.4187</v>
      </c>
    </row>
    <row r="85" spans="1:8" x14ac:dyDescent="0.3">
      <c r="A85" s="25" t="s">
        <v>185</v>
      </c>
      <c r="B85" s="25" t="s">
        <v>186</v>
      </c>
      <c r="C85" s="29">
        <v>82.951057065649394</v>
      </c>
      <c r="F85" s="25" t="s">
        <v>161</v>
      </c>
      <c r="G85" s="25" t="s">
        <v>162</v>
      </c>
      <c r="H85" s="27">
        <v>158.73740000000001</v>
      </c>
    </row>
    <row r="86" spans="1:8" x14ac:dyDescent="0.3">
      <c r="A86" s="25" t="s">
        <v>187</v>
      </c>
      <c r="B86" s="25" t="s">
        <v>188</v>
      </c>
      <c r="C86" s="29">
        <v>6.1538021847743201</v>
      </c>
      <c r="F86" s="25" t="s">
        <v>155</v>
      </c>
      <c r="G86" s="25" t="s">
        <v>156</v>
      </c>
      <c r="H86" s="27">
        <v>154.9759</v>
      </c>
    </row>
    <row r="87" spans="1:8" x14ac:dyDescent="0.3">
      <c r="A87" s="25" t="s">
        <v>189</v>
      </c>
      <c r="B87" s="25" t="s">
        <v>190</v>
      </c>
      <c r="C87" s="29">
        <v>23.316211467816601</v>
      </c>
      <c r="F87" s="25" t="s">
        <v>177</v>
      </c>
      <c r="G87" s="25" t="s">
        <v>178</v>
      </c>
      <c r="H87" s="27">
        <v>153.0119</v>
      </c>
    </row>
    <row r="88" spans="1:8" x14ac:dyDescent="0.3">
      <c r="A88" s="25" t="s">
        <v>191</v>
      </c>
      <c r="B88" s="25" t="s">
        <v>192</v>
      </c>
      <c r="C88" s="29">
        <v>32.489561232283798</v>
      </c>
      <c r="F88" s="25" t="s">
        <v>374</v>
      </c>
      <c r="G88" s="25" t="s">
        <v>375</v>
      </c>
      <c r="H88" s="27">
        <v>150.4316</v>
      </c>
    </row>
    <row r="89" spans="1:8" x14ac:dyDescent="0.3">
      <c r="A89" s="25" t="s">
        <v>193</v>
      </c>
      <c r="B89" s="25" t="s">
        <v>194</v>
      </c>
      <c r="C89" s="29">
        <v>69.517640598970701</v>
      </c>
      <c r="F89" s="25" t="s">
        <v>264</v>
      </c>
      <c r="G89" s="25" t="s">
        <v>265</v>
      </c>
      <c r="H89" s="27">
        <v>150.24789999999999</v>
      </c>
    </row>
    <row r="90" spans="1:8" x14ac:dyDescent="0.3">
      <c r="A90" s="25" t="s">
        <v>195</v>
      </c>
      <c r="B90" s="25" t="s">
        <v>196</v>
      </c>
      <c r="C90" s="29">
        <v>-6.0364167125330097E-2</v>
      </c>
      <c r="F90" s="25" t="s">
        <v>104</v>
      </c>
      <c r="G90" s="25" t="s">
        <v>105</v>
      </c>
      <c r="H90" s="27">
        <v>149.86410000000001</v>
      </c>
    </row>
    <row r="91" spans="1:8" x14ac:dyDescent="0.3">
      <c r="A91" s="25" t="s">
        <v>197</v>
      </c>
      <c r="B91" s="25" t="s">
        <v>198</v>
      </c>
      <c r="C91" s="29">
        <v>73.9596526827427</v>
      </c>
      <c r="F91" s="25" t="s">
        <v>169</v>
      </c>
      <c r="G91" s="25" t="s">
        <v>170</v>
      </c>
      <c r="H91" s="27">
        <v>148.82769999999999</v>
      </c>
    </row>
    <row r="92" spans="1:8" x14ac:dyDescent="0.3">
      <c r="A92" s="25" t="s">
        <v>199</v>
      </c>
      <c r="B92" s="25" t="s">
        <v>200</v>
      </c>
      <c r="C92" s="29">
        <v>36.589764172434002</v>
      </c>
      <c r="F92" s="25" t="s">
        <v>98</v>
      </c>
      <c r="G92" s="25" t="s">
        <v>99</v>
      </c>
      <c r="H92" s="27">
        <v>143.41290000000001</v>
      </c>
    </row>
    <row r="93" spans="1:8" x14ac:dyDescent="0.3">
      <c r="A93" s="25" t="s">
        <v>201</v>
      </c>
      <c r="B93" s="25" t="s">
        <v>202</v>
      </c>
      <c r="C93" s="29">
        <v>107.108540573762</v>
      </c>
      <c r="F93" s="25" t="s">
        <v>287</v>
      </c>
      <c r="G93" s="25" t="s">
        <v>288</v>
      </c>
      <c r="H93" s="27">
        <v>142.6481</v>
      </c>
    </row>
    <row r="94" spans="1:8" x14ac:dyDescent="0.3">
      <c r="A94" s="25" t="s">
        <v>203</v>
      </c>
      <c r="B94" s="25" t="s">
        <v>204</v>
      </c>
      <c r="C94" s="29">
        <v>49.940068072563903</v>
      </c>
      <c r="F94" s="25" t="s">
        <v>289</v>
      </c>
      <c r="G94" s="25" t="s">
        <v>290</v>
      </c>
      <c r="H94" s="27">
        <v>139.6677</v>
      </c>
    </row>
    <row r="95" spans="1:8" x14ac:dyDescent="0.3">
      <c r="A95" s="25" t="s">
        <v>205</v>
      </c>
      <c r="B95" s="25" t="s">
        <v>206</v>
      </c>
      <c r="C95" s="29">
        <v>11.611473992524701</v>
      </c>
      <c r="F95" s="25" t="s">
        <v>260</v>
      </c>
      <c r="G95" s="25" t="s">
        <v>261</v>
      </c>
      <c r="H95" s="27">
        <v>136.03720000000001</v>
      </c>
    </row>
    <row r="96" spans="1:8" x14ac:dyDescent="0.3">
      <c r="A96" s="25" t="s">
        <v>13</v>
      </c>
      <c r="B96" s="25" t="s">
        <v>14</v>
      </c>
      <c r="C96" s="29">
        <v>-0.45467937152424198</v>
      </c>
      <c r="F96" s="25" t="s">
        <v>426</v>
      </c>
      <c r="G96" s="25" t="s">
        <v>427</v>
      </c>
      <c r="H96" s="27">
        <v>135.6645</v>
      </c>
    </row>
    <row r="97" spans="1:8" x14ac:dyDescent="0.3">
      <c r="A97" s="25" t="s">
        <v>207</v>
      </c>
      <c r="B97" s="25" t="s">
        <v>208</v>
      </c>
      <c r="C97" s="29">
        <v>11.9480715080872</v>
      </c>
      <c r="F97" s="25" t="s">
        <v>64</v>
      </c>
      <c r="G97" s="25" t="s">
        <v>65</v>
      </c>
      <c r="H97" s="27">
        <v>134.09549999999999</v>
      </c>
    </row>
    <row r="98" spans="1:8" x14ac:dyDescent="0.3">
      <c r="A98" s="25" t="s">
        <v>209</v>
      </c>
      <c r="B98" s="25" t="s">
        <v>210</v>
      </c>
      <c r="C98" s="29">
        <v>16.607573759726499</v>
      </c>
      <c r="F98" s="25" t="s">
        <v>23</v>
      </c>
      <c r="G98" s="25" t="s">
        <v>24</v>
      </c>
      <c r="H98" s="27">
        <v>133.8099</v>
      </c>
    </row>
    <row r="99" spans="1:8" x14ac:dyDescent="0.3">
      <c r="A99" s="25" t="s">
        <v>211</v>
      </c>
      <c r="B99" s="25" t="s">
        <v>212</v>
      </c>
      <c r="C99" s="29">
        <v>57.453306511535203</v>
      </c>
      <c r="F99" s="25" t="s">
        <v>254</v>
      </c>
      <c r="G99" s="25" t="s">
        <v>255</v>
      </c>
      <c r="H99" s="27">
        <v>132.1489</v>
      </c>
    </row>
    <row r="100" spans="1:8" x14ac:dyDescent="0.3">
      <c r="A100" s="25" t="s">
        <v>213</v>
      </c>
      <c r="B100" s="25" t="s">
        <v>214</v>
      </c>
      <c r="C100" s="29">
        <v>4.9999441201342601E-2</v>
      </c>
      <c r="F100" s="25" t="s">
        <v>28</v>
      </c>
      <c r="G100" s="25" t="s">
        <v>29</v>
      </c>
      <c r="H100" s="27">
        <v>129.3758</v>
      </c>
    </row>
    <row r="101" spans="1:8" x14ac:dyDescent="0.3">
      <c r="A101" s="25" t="s">
        <v>215</v>
      </c>
      <c r="B101" s="25" t="s">
        <v>216</v>
      </c>
      <c r="C101" s="29">
        <v>243.22274521431399</v>
      </c>
      <c r="F101" s="25" t="s">
        <v>135</v>
      </c>
      <c r="G101" s="25" t="s">
        <v>136</v>
      </c>
      <c r="H101" s="27">
        <v>128.70429999999999</v>
      </c>
    </row>
    <row r="102" spans="1:8" x14ac:dyDescent="0.3">
      <c r="A102" s="25" t="s">
        <v>217</v>
      </c>
      <c r="B102" s="25" t="s">
        <v>218</v>
      </c>
      <c r="C102" s="29">
        <v>130.97419430172801</v>
      </c>
      <c r="F102" s="25" t="s">
        <v>96</v>
      </c>
      <c r="G102" s="25" t="s">
        <v>97</v>
      </c>
      <c r="H102" s="27">
        <v>128.00460000000001</v>
      </c>
    </row>
    <row r="103" spans="1:8" x14ac:dyDescent="0.3">
      <c r="A103" s="25" t="s">
        <v>219</v>
      </c>
      <c r="B103" s="25" t="s">
        <v>220</v>
      </c>
      <c r="C103" s="29">
        <v>37.387480728743597</v>
      </c>
      <c r="F103" s="25" t="s">
        <v>390</v>
      </c>
      <c r="G103" s="25" t="s">
        <v>391</v>
      </c>
      <c r="H103" s="27">
        <v>123.9705</v>
      </c>
    </row>
    <row r="104" spans="1:8" x14ac:dyDescent="0.3">
      <c r="A104" s="25" t="s">
        <v>221</v>
      </c>
      <c r="B104" s="25" t="s">
        <v>222</v>
      </c>
      <c r="C104" s="29">
        <v>0.34435225033765998</v>
      </c>
      <c r="F104" s="25" t="s">
        <v>181</v>
      </c>
      <c r="G104" s="25" t="s">
        <v>182</v>
      </c>
      <c r="H104" s="27">
        <v>123.47</v>
      </c>
    </row>
    <row r="105" spans="1:8" x14ac:dyDescent="0.3">
      <c r="A105" s="25" t="s">
        <v>223</v>
      </c>
      <c r="B105" s="25" t="s">
        <v>224</v>
      </c>
      <c r="C105" s="29">
        <v>3.19791388071677</v>
      </c>
      <c r="F105" s="25" t="s">
        <v>321</v>
      </c>
      <c r="G105" s="25" t="s">
        <v>322</v>
      </c>
      <c r="H105" s="27">
        <v>122.8266</v>
      </c>
    </row>
    <row r="106" spans="1:8" x14ac:dyDescent="0.3">
      <c r="A106" s="25" t="s">
        <v>225</v>
      </c>
      <c r="B106" s="25" t="s">
        <v>226</v>
      </c>
      <c r="C106" s="29">
        <v>23.5795531197302</v>
      </c>
      <c r="F106" s="25" t="s">
        <v>317</v>
      </c>
      <c r="G106" s="25" t="s">
        <v>318</v>
      </c>
      <c r="H106" s="27">
        <v>122.3129</v>
      </c>
    </row>
    <row r="107" spans="1:8" x14ac:dyDescent="0.3">
      <c r="A107" s="25" t="s">
        <v>227</v>
      </c>
      <c r="B107" s="25" t="s">
        <v>228</v>
      </c>
      <c r="C107" s="29">
        <v>13.725949431732101</v>
      </c>
      <c r="F107" s="25" t="s">
        <v>239</v>
      </c>
      <c r="G107" s="25" t="s">
        <v>240</v>
      </c>
      <c r="H107" s="27">
        <v>122.2272</v>
      </c>
    </row>
    <row r="108" spans="1:8" x14ac:dyDescent="0.3">
      <c r="A108" s="25" t="s">
        <v>229</v>
      </c>
      <c r="B108" s="25" t="s">
        <v>230</v>
      </c>
      <c r="C108" s="29">
        <v>1.6624707396458001</v>
      </c>
      <c r="F108" s="25" t="s">
        <v>270</v>
      </c>
      <c r="G108" s="25" t="s">
        <v>271</v>
      </c>
      <c r="H108" s="27">
        <v>120.824</v>
      </c>
    </row>
    <row r="109" spans="1:8" x14ac:dyDescent="0.3">
      <c r="A109" s="25" t="s">
        <v>231</v>
      </c>
      <c r="B109" s="25" t="s">
        <v>232</v>
      </c>
      <c r="C109" s="29">
        <v>26.1860660282636</v>
      </c>
      <c r="F109" s="25" t="s">
        <v>117</v>
      </c>
      <c r="G109" s="25" t="s">
        <v>118</v>
      </c>
      <c r="H109" s="27">
        <v>119.5146</v>
      </c>
    </row>
    <row r="110" spans="1:8" x14ac:dyDescent="0.3">
      <c r="A110" s="25" t="s">
        <v>233</v>
      </c>
      <c r="B110" s="25" t="s">
        <v>234</v>
      </c>
      <c r="C110" s="29">
        <v>119.02048389490901</v>
      </c>
      <c r="F110" s="25" t="s">
        <v>417</v>
      </c>
      <c r="G110" s="25" t="s">
        <v>418</v>
      </c>
      <c r="H110" s="27">
        <v>119.1203</v>
      </c>
    </row>
    <row r="111" spans="1:8" x14ac:dyDescent="0.3">
      <c r="A111" s="25" t="s">
        <v>235</v>
      </c>
      <c r="B111" s="25" t="s">
        <v>236</v>
      </c>
      <c r="C111" s="29">
        <v>143.94369149084801</v>
      </c>
      <c r="F111" s="25" t="s">
        <v>368</v>
      </c>
      <c r="G111" s="25" t="s">
        <v>369</v>
      </c>
      <c r="H111" s="27">
        <v>118.8951</v>
      </c>
    </row>
    <row r="112" spans="1:8" x14ac:dyDescent="0.3">
      <c r="A112" s="25" t="s">
        <v>237</v>
      </c>
      <c r="B112" s="25" t="s">
        <v>238</v>
      </c>
      <c r="C112" s="29">
        <v>45.914578968841496</v>
      </c>
      <c r="F112" s="25" t="s">
        <v>209</v>
      </c>
      <c r="G112" s="25" t="s">
        <v>210</v>
      </c>
      <c r="H112" s="27">
        <v>116.9957</v>
      </c>
    </row>
    <row r="113" spans="1:8" x14ac:dyDescent="0.3">
      <c r="A113" s="25" t="s">
        <v>16</v>
      </c>
      <c r="B113" s="25" t="s">
        <v>17</v>
      </c>
      <c r="C113" s="29">
        <v>8.5430358213704399E-2</v>
      </c>
      <c r="F113" s="25" t="s">
        <v>179</v>
      </c>
      <c r="G113" s="25" t="s">
        <v>180</v>
      </c>
      <c r="H113" s="27">
        <v>116.6336</v>
      </c>
    </row>
    <row r="114" spans="1:8" x14ac:dyDescent="0.3">
      <c r="A114" s="25" t="s">
        <v>239</v>
      </c>
      <c r="B114" s="25" t="s">
        <v>240</v>
      </c>
      <c r="C114" s="29">
        <v>8.8419657647708405</v>
      </c>
      <c r="F114" s="25" t="s">
        <v>191</v>
      </c>
      <c r="G114" s="25" t="s">
        <v>192</v>
      </c>
      <c r="H114" s="27">
        <v>116.5912</v>
      </c>
    </row>
    <row r="115" spans="1:8" x14ac:dyDescent="0.3">
      <c r="A115" s="25" t="s">
        <v>241</v>
      </c>
      <c r="B115" s="25" t="s">
        <v>242</v>
      </c>
      <c r="C115" s="29">
        <v>-0.24489784752087401</v>
      </c>
      <c r="F115" s="25" t="s">
        <v>440</v>
      </c>
      <c r="G115" s="25" t="s">
        <v>441</v>
      </c>
      <c r="H115" s="27">
        <v>115.4614</v>
      </c>
    </row>
    <row r="116" spans="1:8" x14ac:dyDescent="0.3">
      <c r="A116" s="25" t="s">
        <v>243</v>
      </c>
      <c r="B116" s="25" t="s">
        <v>244</v>
      </c>
      <c r="C116" s="29">
        <v>-0.83243482512123201</v>
      </c>
      <c r="F116" s="25" t="s">
        <v>247</v>
      </c>
      <c r="G116" s="25" t="s">
        <v>248</v>
      </c>
      <c r="H116" s="27">
        <v>114.801</v>
      </c>
    </row>
    <row r="117" spans="1:8" x14ac:dyDescent="0.3">
      <c r="A117" s="25" t="s">
        <v>245</v>
      </c>
      <c r="B117" s="25" t="s">
        <v>246</v>
      </c>
      <c r="C117" s="29">
        <v>-4.8675430969302901E-2</v>
      </c>
      <c r="F117" s="25" t="s">
        <v>256</v>
      </c>
      <c r="G117" s="25" t="s">
        <v>257</v>
      </c>
      <c r="H117" s="27">
        <v>114.5596</v>
      </c>
    </row>
    <row r="118" spans="1:8" x14ac:dyDescent="0.3">
      <c r="A118" s="25" t="s">
        <v>247</v>
      </c>
      <c r="B118" s="25" t="s">
        <v>248</v>
      </c>
      <c r="C118" s="29">
        <v>19.225943661859301</v>
      </c>
      <c r="F118" s="25" t="s">
        <v>311</v>
      </c>
      <c r="G118" s="25" t="s">
        <v>312</v>
      </c>
      <c r="H118" s="27">
        <v>111.7629</v>
      </c>
    </row>
    <row r="119" spans="1:8" x14ac:dyDescent="0.3">
      <c r="A119" s="25" t="s">
        <v>249</v>
      </c>
      <c r="B119" s="25" t="s">
        <v>250</v>
      </c>
      <c r="C119" s="29">
        <v>92.792489673300807</v>
      </c>
      <c r="F119" s="25" t="s">
        <v>359</v>
      </c>
      <c r="G119" s="25" t="s">
        <v>360</v>
      </c>
      <c r="H119" s="27">
        <v>111.71639999999999</v>
      </c>
    </row>
    <row r="120" spans="1:8" x14ac:dyDescent="0.3">
      <c r="A120" s="25" t="s">
        <v>251</v>
      </c>
      <c r="B120" s="25" t="s">
        <v>252</v>
      </c>
      <c r="C120" s="29">
        <v>1.03532021920497</v>
      </c>
      <c r="F120" s="25" t="s">
        <v>58</v>
      </c>
      <c r="G120" s="25" t="s">
        <v>59</v>
      </c>
      <c r="H120" s="27">
        <v>111.56310000000001</v>
      </c>
    </row>
    <row r="121" spans="1:8" x14ac:dyDescent="0.3">
      <c r="A121" s="25" t="s">
        <v>253</v>
      </c>
      <c r="B121" s="25" t="s">
        <v>178</v>
      </c>
      <c r="C121" s="29">
        <v>8.06339195337093</v>
      </c>
      <c r="F121" s="25" t="s">
        <v>409</v>
      </c>
      <c r="G121" s="25" t="s">
        <v>410</v>
      </c>
      <c r="H121" s="27">
        <v>111.4311</v>
      </c>
    </row>
    <row r="122" spans="1:8" x14ac:dyDescent="0.3">
      <c r="A122" s="25" t="s">
        <v>254</v>
      </c>
      <c r="B122" s="25" t="s">
        <v>255</v>
      </c>
      <c r="C122" s="29">
        <v>3.1726920192822701</v>
      </c>
      <c r="F122" s="25" t="s">
        <v>380</v>
      </c>
      <c r="G122" s="25" t="s">
        <v>381</v>
      </c>
      <c r="H122" s="27">
        <v>110.19670000000001</v>
      </c>
    </row>
    <row r="123" spans="1:8" x14ac:dyDescent="0.3">
      <c r="A123" s="25" t="s">
        <v>256</v>
      </c>
      <c r="B123" s="25" t="s">
        <v>257</v>
      </c>
      <c r="C123" s="29">
        <v>2.9039268788084001</v>
      </c>
      <c r="F123" s="25" t="s">
        <v>88</v>
      </c>
      <c r="G123" s="25" t="s">
        <v>89</v>
      </c>
      <c r="H123" s="27">
        <v>109.58410000000001</v>
      </c>
    </row>
    <row r="124" spans="1:8" x14ac:dyDescent="0.3">
      <c r="A124" s="25" t="s">
        <v>258</v>
      </c>
      <c r="B124" s="25" t="s">
        <v>259</v>
      </c>
      <c r="C124" s="29">
        <v>44.153123742743801</v>
      </c>
      <c r="F124" s="25" t="s">
        <v>40</v>
      </c>
      <c r="G124" s="25" t="s">
        <v>41</v>
      </c>
      <c r="H124" s="27">
        <v>109.0378</v>
      </c>
    </row>
    <row r="125" spans="1:8" x14ac:dyDescent="0.3">
      <c r="A125" s="25" t="s">
        <v>260</v>
      </c>
      <c r="B125" s="25" t="s">
        <v>261</v>
      </c>
      <c r="C125" s="29">
        <v>22.117127552301799</v>
      </c>
      <c r="F125" s="25" t="s">
        <v>205</v>
      </c>
      <c r="G125" s="25" t="s">
        <v>206</v>
      </c>
      <c r="H125" s="27">
        <v>108.682</v>
      </c>
    </row>
    <row r="126" spans="1:8" x14ac:dyDescent="0.3">
      <c r="A126" s="25" t="s">
        <v>262</v>
      </c>
      <c r="B126" s="25" t="s">
        <v>263</v>
      </c>
      <c r="C126" s="29">
        <v>111.930999811475</v>
      </c>
      <c r="F126" s="25" t="s">
        <v>366</v>
      </c>
      <c r="G126" s="25" t="s">
        <v>367</v>
      </c>
      <c r="H126" s="27">
        <v>108.31359999999999</v>
      </c>
    </row>
    <row r="127" spans="1:8" x14ac:dyDescent="0.3">
      <c r="A127" s="25" t="s">
        <v>264</v>
      </c>
      <c r="B127" s="25" t="s">
        <v>265</v>
      </c>
      <c r="C127" s="29">
        <v>9.6768992860198093</v>
      </c>
      <c r="F127" s="25" t="s">
        <v>303</v>
      </c>
      <c r="G127" s="25" t="s">
        <v>304</v>
      </c>
      <c r="H127" s="27">
        <v>107.88420000000001</v>
      </c>
    </row>
    <row r="128" spans="1:8" x14ac:dyDescent="0.3">
      <c r="A128" s="25" t="s">
        <v>266</v>
      </c>
      <c r="B128" s="25" t="s">
        <v>267</v>
      </c>
      <c r="C128" s="29">
        <v>48.587221861224798</v>
      </c>
      <c r="F128" s="25" t="s">
        <v>149</v>
      </c>
      <c r="G128" s="25" t="s">
        <v>150</v>
      </c>
      <c r="H128" s="27">
        <v>103.63</v>
      </c>
    </row>
    <row r="129" spans="1:8" x14ac:dyDescent="0.3">
      <c r="A129" s="25" t="s">
        <v>268</v>
      </c>
      <c r="B129" s="25" t="s">
        <v>269</v>
      </c>
      <c r="C129" s="29">
        <v>-0.88362474652791101</v>
      </c>
      <c r="F129" s="25" t="s">
        <v>159</v>
      </c>
      <c r="G129" s="25" t="s">
        <v>160</v>
      </c>
      <c r="H129" s="27">
        <v>102.83929999999999</v>
      </c>
    </row>
    <row r="130" spans="1:8" x14ac:dyDescent="0.3">
      <c r="A130" s="25" t="s">
        <v>270</v>
      </c>
      <c r="B130" s="25" t="s">
        <v>271</v>
      </c>
      <c r="C130" s="29">
        <v>31.055248646531201</v>
      </c>
      <c r="F130" s="25" t="s">
        <v>231</v>
      </c>
      <c r="G130" s="25" t="s">
        <v>232</v>
      </c>
      <c r="H130" s="27">
        <v>102.8182</v>
      </c>
    </row>
    <row r="131" spans="1:8" x14ac:dyDescent="0.3">
      <c r="A131" s="25" t="s">
        <v>272</v>
      </c>
      <c r="B131" s="25" t="s">
        <v>273</v>
      </c>
      <c r="C131" s="29">
        <v>6.0974906792881898</v>
      </c>
      <c r="F131" s="25" t="s">
        <v>357</v>
      </c>
      <c r="G131" s="25" t="s">
        <v>358</v>
      </c>
      <c r="H131" s="27">
        <v>100.9777</v>
      </c>
    </row>
    <row r="132" spans="1:8" x14ac:dyDescent="0.3">
      <c r="A132" s="25" t="s">
        <v>274</v>
      </c>
      <c r="B132" s="25" t="s">
        <v>275</v>
      </c>
      <c r="C132" s="29">
        <v>0.29432083344508803</v>
      </c>
      <c r="F132" s="25" t="s">
        <v>376</v>
      </c>
      <c r="G132" s="25" t="s">
        <v>377</v>
      </c>
      <c r="H132" s="27">
        <v>99.529799999999994</v>
      </c>
    </row>
    <row r="133" spans="1:8" x14ac:dyDescent="0.3">
      <c r="A133" s="25" t="s">
        <v>276</v>
      </c>
      <c r="B133" s="25" t="s">
        <v>277</v>
      </c>
      <c r="C133" s="29">
        <v>0.85267631111963205</v>
      </c>
      <c r="F133" s="25" t="s">
        <v>396</v>
      </c>
      <c r="G133" s="25" t="s">
        <v>397</v>
      </c>
      <c r="H133" s="27">
        <v>98.8202</v>
      </c>
    </row>
    <row r="134" spans="1:8" x14ac:dyDescent="0.3">
      <c r="A134" s="25" t="s">
        <v>278</v>
      </c>
      <c r="B134" s="25" t="s">
        <v>81</v>
      </c>
      <c r="C134" s="29">
        <v>-0.81276498826167698</v>
      </c>
      <c r="F134" s="25" t="s">
        <v>386</v>
      </c>
      <c r="G134" s="25" t="s">
        <v>387</v>
      </c>
      <c r="H134" s="27">
        <v>98.394300000000001</v>
      </c>
    </row>
    <row r="135" spans="1:8" x14ac:dyDescent="0.3">
      <c r="A135" s="25" t="s">
        <v>279</v>
      </c>
      <c r="B135" s="25" t="s">
        <v>280</v>
      </c>
      <c r="C135" s="29">
        <v>5.0043097923609299</v>
      </c>
      <c r="F135" s="25" t="s">
        <v>33</v>
      </c>
      <c r="G135" s="25" t="s">
        <v>34</v>
      </c>
      <c r="H135" s="27">
        <v>98.100800000000007</v>
      </c>
    </row>
    <row r="136" spans="1:8" x14ac:dyDescent="0.3">
      <c r="A136" s="25" t="s">
        <v>281</v>
      </c>
      <c r="B136" s="25" t="s">
        <v>282</v>
      </c>
      <c r="C136" s="29">
        <v>9.5636961764172899</v>
      </c>
      <c r="F136" s="25" t="s">
        <v>189</v>
      </c>
      <c r="G136" s="25" t="s">
        <v>190</v>
      </c>
      <c r="H136" s="27">
        <v>98.057900000000004</v>
      </c>
    </row>
    <row r="137" spans="1:8" x14ac:dyDescent="0.3">
      <c r="A137" s="25" t="s">
        <v>283</v>
      </c>
      <c r="B137" s="25" t="s">
        <v>284</v>
      </c>
      <c r="C137" s="29">
        <v>-0.385200791535527</v>
      </c>
      <c r="F137" s="25" t="s">
        <v>102</v>
      </c>
      <c r="G137" s="25" t="s">
        <v>103</v>
      </c>
      <c r="H137" s="27">
        <v>96.891199999999998</v>
      </c>
    </row>
    <row r="138" spans="1:8" x14ac:dyDescent="0.3">
      <c r="A138" s="25" t="s">
        <v>285</v>
      </c>
      <c r="B138" s="25" t="s">
        <v>286</v>
      </c>
      <c r="C138" s="29">
        <v>0.63519496023984101</v>
      </c>
      <c r="F138" s="25" t="s">
        <v>378</v>
      </c>
      <c r="G138" s="25" t="s">
        <v>379</v>
      </c>
      <c r="H138" s="27">
        <v>95.063900000000004</v>
      </c>
    </row>
    <row r="139" spans="1:8" x14ac:dyDescent="0.3">
      <c r="A139" s="25" t="s">
        <v>287</v>
      </c>
      <c r="B139" s="25" t="s">
        <v>288</v>
      </c>
      <c r="C139" s="29">
        <v>10.1088697715811</v>
      </c>
      <c r="F139" s="25" t="s">
        <v>173</v>
      </c>
      <c r="G139" s="25" t="s">
        <v>174</v>
      </c>
      <c r="H139" s="27">
        <v>95.005200000000002</v>
      </c>
    </row>
    <row r="140" spans="1:8" x14ac:dyDescent="0.3">
      <c r="A140" s="25" t="s">
        <v>289</v>
      </c>
      <c r="B140" s="25" t="s">
        <v>290</v>
      </c>
      <c r="C140" s="29">
        <v>37.521831402817</v>
      </c>
      <c r="F140" s="25" t="s">
        <v>74</v>
      </c>
      <c r="G140" s="25" t="s">
        <v>75</v>
      </c>
      <c r="H140" s="27">
        <v>93.996099999999998</v>
      </c>
    </row>
    <row r="141" spans="1:8" x14ac:dyDescent="0.3">
      <c r="A141" s="25" t="s">
        <v>291</v>
      </c>
      <c r="B141" s="25" t="s">
        <v>292</v>
      </c>
      <c r="C141" s="29">
        <v>112.275853328827</v>
      </c>
      <c r="F141" s="25" t="s">
        <v>72</v>
      </c>
      <c r="G141" s="25" t="s">
        <v>73</v>
      </c>
      <c r="H141" s="27">
        <v>93.185500000000005</v>
      </c>
    </row>
    <row r="142" spans="1:8" x14ac:dyDescent="0.3">
      <c r="A142" s="25" t="s">
        <v>293</v>
      </c>
      <c r="B142" s="25" t="s">
        <v>294</v>
      </c>
      <c r="C142" s="29">
        <v>-0.54219478478536898</v>
      </c>
      <c r="F142" s="25" t="s">
        <v>297</v>
      </c>
      <c r="G142" s="25" t="s">
        <v>298</v>
      </c>
      <c r="H142" s="27">
        <v>92.522900000000007</v>
      </c>
    </row>
    <row r="143" spans="1:8" x14ac:dyDescent="0.3">
      <c r="A143" s="25" t="s">
        <v>295</v>
      </c>
      <c r="B143" s="25" t="s">
        <v>296</v>
      </c>
      <c r="C143" s="29">
        <v>111.94672378088001</v>
      </c>
      <c r="F143" s="25" t="s">
        <v>438</v>
      </c>
      <c r="G143" s="25" t="s">
        <v>439</v>
      </c>
      <c r="H143" s="27">
        <v>90.411199999999994</v>
      </c>
    </row>
    <row r="144" spans="1:8" x14ac:dyDescent="0.3">
      <c r="A144" s="25" t="s">
        <v>297</v>
      </c>
      <c r="B144" s="25" t="s">
        <v>298</v>
      </c>
      <c r="C144" s="29">
        <v>19.499794052228399</v>
      </c>
      <c r="F144" s="25" t="s">
        <v>197</v>
      </c>
      <c r="G144" s="25" t="s">
        <v>198</v>
      </c>
      <c r="H144" s="27">
        <v>90.174499999999995</v>
      </c>
    </row>
    <row r="145" spans="1:8" x14ac:dyDescent="0.3">
      <c r="A145" s="25" t="s">
        <v>299</v>
      </c>
      <c r="B145" s="25" t="s">
        <v>300</v>
      </c>
      <c r="C145" s="29">
        <v>7.0830486781193596</v>
      </c>
      <c r="F145" s="25" t="s">
        <v>450</v>
      </c>
      <c r="G145" s="25" t="s">
        <v>451</v>
      </c>
      <c r="H145" s="27">
        <v>89.153300000000002</v>
      </c>
    </row>
    <row r="146" spans="1:8" x14ac:dyDescent="0.3">
      <c r="A146" s="25" t="s">
        <v>301</v>
      </c>
      <c r="B146" s="25" t="s">
        <v>302</v>
      </c>
      <c r="C146" s="29">
        <v>55.893685729268199</v>
      </c>
      <c r="F146" s="25" t="s">
        <v>31</v>
      </c>
      <c r="G146" s="25" t="s">
        <v>32</v>
      </c>
      <c r="H146" s="27">
        <v>88.998099999999994</v>
      </c>
    </row>
    <row r="147" spans="1:8" x14ac:dyDescent="0.3">
      <c r="A147" s="25" t="s">
        <v>303</v>
      </c>
      <c r="B147" s="25" t="s">
        <v>304</v>
      </c>
      <c r="C147" s="29">
        <v>20.3295267831008</v>
      </c>
      <c r="F147" s="25" t="s">
        <v>175</v>
      </c>
      <c r="G147" s="25" t="s">
        <v>176</v>
      </c>
      <c r="H147" s="27">
        <v>87.8489</v>
      </c>
    </row>
    <row r="148" spans="1:8" x14ac:dyDescent="0.3">
      <c r="A148" s="25" t="s">
        <v>305</v>
      </c>
      <c r="B148" s="25" t="s">
        <v>306</v>
      </c>
      <c r="C148" s="29">
        <v>50.293656691211197</v>
      </c>
      <c r="F148" s="25" t="s">
        <v>444</v>
      </c>
      <c r="G148" s="25" t="s">
        <v>445</v>
      </c>
      <c r="H148" s="27">
        <v>87.289500000000004</v>
      </c>
    </row>
    <row r="149" spans="1:8" x14ac:dyDescent="0.3">
      <c r="A149" s="25" t="s">
        <v>307</v>
      </c>
      <c r="B149" s="25" t="s">
        <v>308</v>
      </c>
      <c r="C149" s="31"/>
      <c r="F149" s="25" t="s">
        <v>125</v>
      </c>
      <c r="G149" s="25" t="s">
        <v>126</v>
      </c>
      <c r="H149" s="27">
        <v>86.9983</v>
      </c>
    </row>
    <row r="150" spans="1:8" x14ac:dyDescent="0.3">
      <c r="A150" s="25" t="s">
        <v>309</v>
      </c>
      <c r="B150" s="25" t="s">
        <v>310</v>
      </c>
      <c r="C150" s="29">
        <v>49.676722509132098</v>
      </c>
      <c r="F150" s="25" t="s">
        <v>119</v>
      </c>
      <c r="G150" s="25" t="s">
        <v>120</v>
      </c>
      <c r="H150" s="27">
        <v>86.152199999999993</v>
      </c>
    </row>
    <row r="151" spans="1:8" x14ac:dyDescent="0.3">
      <c r="A151" s="25" t="s">
        <v>311</v>
      </c>
      <c r="B151" s="25" t="s">
        <v>312</v>
      </c>
      <c r="C151" s="29">
        <v>36.295758391009102</v>
      </c>
      <c r="F151" s="25" t="s">
        <v>227</v>
      </c>
      <c r="G151" s="25" t="s">
        <v>228</v>
      </c>
      <c r="H151" s="27">
        <v>85.936099999999996</v>
      </c>
    </row>
    <row r="152" spans="1:8" x14ac:dyDescent="0.3">
      <c r="A152" s="25" t="s">
        <v>313</v>
      </c>
      <c r="B152" s="25" t="s">
        <v>314</v>
      </c>
      <c r="C152" s="29">
        <v>9.4777066156889394</v>
      </c>
      <c r="F152" s="25" t="s">
        <v>106</v>
      </c>
      <c r="G152" s="25" t="s">
        <v>107</v>
      </c>
      <c r="H152" s="27">
        <v>85.914599999999993</v>
      </c>
    </row>
    <row r="153" spans="1:8" x14ac:dyDescent="0.3">
      <c r="A153" s="25" t="s">
        <v>315</v>
      </c>
      <c r="B153" s="25" t="s">
        <v>316</v>
      </c>
      <c r="C153" s="29">
        <v>-0.58684723430881103</v>
      </c>
      <c r="F153" s="25" t="s">
        <v>48</v>
      </c>
      <c r="G153" s="25" t="s">
        <v>49</v>
      </c>
      <c r="H153" s="27">
        <v>83.259100000000004</v>
      </c>
    </row>
    <row r="154" spans="1:8" x14ac:dyDescent="0.3">
      <c r="A154" s="25" t="s">
        <v>317</v>
      </c>
      <c r="B154" s="25" t="s">
        <v>318</v>
      </c>
      <c r="C154" s="29">
        <v>35.693400497577997</v>
      </c>
      <c r="F154" s="25" t="s">
        <v>301</v>
      </c>
      <c r="G154" s="25" t="s">
        <v>302</v>
      </c>
      <c r="H154" s="27">
        <v>80.289500000000004</v>
      </c>
    </row>
    <row r="155" spans="1:8" x14ac:dyDescent="0.3">
      <c r="A155" s="25" t="s">
        <v>319</v>
      </c>
      <c r="B155" s="25" t="s">
        <v>320</v>
      </c>
      <c r="C155" s="29">
        <v>1.15107160349263</v>
      </c>
      <c r="F155" s="25" t="s">
        <v>26</v>
      </c>
      <c r="G155" s="25" t="s">
        <v>27</v>
      </c>
      <c r="H155" s="27">
        <v>79.604399999999998</v>
      </c>
    </row>
    <row r="156" spans="1:8" x14ac:dyDescent="0.3">
      <c r="A156" s="25" t="s">
        <v>321</v>
      </c>
      <c r="B156" s="25" t="s">
        <v>322</v>
      </c>
      <c r="C156" s="29">
        <v>24.0149405948581</v>
      </c>
      <c r="F156" s="25" t="s">
        <v>327</v>
      </c>
      <c r="G156" s="25" t="s">
        <v>328</v>
      </c>
      <c r="H156" s="27">
        <v>79.271199999999993</v>
      </c>
    </row>
    <row r="157" spans="1:8" x14ac:dyDescent="0.3">
      <c r="A157" s="25" t="s">
        <v>323</v>
      </c>
      <c r="B157" s="25" t="s">
        <v>324</v>
      </c>
      <c r="C157" s="29">
        <v>27.132020398577499</v>
      </c>
      <c r="F157" s="25" t="s">
        <v>337</v>
      </c>
      <c r="G157" s="25" t="s">
        <v>338</v>
      </c>
      <c r="H157" s="27">
        <v>77.209400000000002</v>
      </c>
    </row>
    <row r="158" spans="1:8" x14ac:dyDescent="0.3">
      <c r="A158" s="25" t="s">
        <v>325</v>
      </c>
      <c r="B158" s="25" t="s">
        <v>326</v>
      </c>
      <c r="C158" s="29">
        <v>65.593917033252893</v>
      </c>
      <c r="F158" s="25" t="s">
        <v>331</v>
      </c>
      <c r="G158" s="25" t="s">
        <v>332</v>
      </c>
      <c r="H158" s="27">
        <v>77.106499999999997</v>
      </c>
    </row>
    <row r="159" spans="1:8" x14ac:dyDescent="0.3">
      <c r="A159" s="25" t="s">
        <v>327</v>
      </c>
      <c r="B159" s="25" t="s">
        <v>328</v>
      </c>
      <c r="C159" s="29">
        <v>61.494077400042798</v>
      </c>
      <c r="F159" s="25" t="s">
        <v>193</v>
      </c>
      <c r="G159" s="25" t="s">
        <v>194</v>
      </c>
      <c r="H159" s="27">
        <v>76.695899999999995</v>
      </c>
    </row>
    <row r="160" spans="1:8" x14ac:dyDescent="0.3">
      <c r="A160" s="25" t="s">
        <v>329</v>
      </c>
      <c r="B160" s="25" t="s">
        <v>330</v>
      </c>
      <c r="C160" s="29">
        <v>71.085268146329796</v>
      </c>
      <c r="F160" s="25" t="s">
        <v>20</v>
      </c>
      <c r="G160" s="25" t="s">
        <v>21</v>
      </c>
      <c r="H160" s="27">
        <v>76.592399999999998</v>
      </c>
    </row>
    <row r="161" spans="1:8" x14ac:dyDescent="0.3">
      <c r="A161" s="25" t="s">
        <v>331</v>
      </c>
      <c r="B161" s="25" t="s">
        <v>332</v>
      </c>
      <c r="C161" s="29">
        <v>16.123451498135399</v>
      </c>
      <c r="F161" s="25" t="s">
        <v>163</v>
      </c>
      <c r="G161" s="25" t="s">
        <v>164</v>
      </c>
      <c r="H161" s="27">
        <v>74.077799999999996</v>
      </c>
    </row>
    <row r="162" spans="1:8" x14ac:dyDescent="0.3">
      <c r="A162" s="25" t="s">
        <v>18</v>
      </c>
      <c r="B162" s="25" t="s">
        <v>19</v>
      </c>
      <c r="C162" s="29">
        <v>1.1865841034322899</v>
      </c>
      <c r="F162" s="25" t="s">
        <v>35</v>
      </c>
      <c r="G162" s="25" t="s">
        <v>36</v>
      </c>
      <c r="H162" s="27">
        <v>73.877200000000002</v>
      </c>
    </row>
    <row r="163" spans="1:8" x14ac:dyDescent="0.3">
      <c r="A163" s="25" t="s">
        <v>333</v>
      </c>
      <c r="B163" s="25" t="s">
        <v>334</v>
      </c>
      <c r="C163" s="29">
        <v>-0.43275872929220799</v>
      </c>
      <c r="F163" s="25" t="s">
        <v>211</v>
      </c>
      <c r="G163" s="25" t="s">
        <v>212</v>
      </c>
      <c r="H163" s="27">
        <v>73.1494</v>
      </c>
    </row>
    <row r="164" spans="1:8" x14ac:dyDescent="0.3">
      <c r="A164" s="25" t="s">
        <v>335</v>
      </c>
      <c r="B164" s="25" t="s">
        <v>336</v>
      </c>
      <c r="C164" s="29">
        <v>4.4972672045006199</v>
      </c>
      <c r="F164" s="25" t="s">
        <v>50</v>
      </c>
      <c r="G164" s="25" t="s">
        <v>51</v>
      </c>
      <c r="H164" s="27">
        <v>73.0655</v>
      </c>
    </row>
    <row r="165" spans="1:8" x14ac:dyDescent="0.3">
      <c r="A165" s="25" t="s">
        <v>337</v>
      </c>
      <c r="B165" s="25" t="s">
        <v>338</v>
      </c>
      <c r="C165" s="29">
        <v>25.5799055651826</v>
      </c>
      <c r="F165" s="25" t="s">
        <v>52</v>
      </c>
      <c r="G165" s="25" t="s">
        <v>53</v>
      </c>
      <c r="H165" s="27">
        <v>69.983199999999997</v>
      </c>
    </row>
    <row r="166" spans="1:8" x14ac:dyDescent="0.3">
      <c r="A166" s="25" t="s">
        <v>339</v>
      </c>
      <c r="B166" s="25" t="s">
        <v>340</v>
      </c>
      <c r="C166" s="29">
        <v>-0.18955800747090401</v>
      </c>
      <c r="F166" s="25" t="s">
        <v>446</v>
      </c>
      <c r="G166" s="25" t="s">
        <v>447</v>
      </c>
      <c r="H166" s="27">
        <v>69.905799999999999</v>
      </c>
    </row>
    <row r="167" spans="1:8" x14ac:dyDescent="0.3">
      <c r="A167" s="25" t="s">
        <v>341</v>
      </c>
      <c r="B167" s="25" t="s">
        <v>342</v>
      </c>
      <c r="C167" s="29">
        <v>46.195402103834397</v>
      </c>
      <c r="F167" s="25" t="s">
        <v>225</v>
      </c>
      <c r="G167" s="25" t="s">
        <v>226</v>
      </c>
      <c r="H167" s="27">
        <v>69.255499999999998</v>
      </c>
    </row>
    <row r="168" spans="1:8" x14ac:dyDescent="0.3">
      <c r="A168" s="25" t="s">
        <v>343</v>
      </c>
      <c r="B168" s="25" t="s">
        <v>344</v>
      </c>
      <c r="C168" s="29">
        <v>-0.43236837039176002</v>
      </c>
      <c r="F168" s="25" t="s">
        <v>428</v>
      </c>
      <c r="G168" s="25" t="s">
        <v>429</v>
      </c>
      <c r="H168" s="27">
        <v>69.239199999999997</v>
      </c>
    </row>
    <row r="169" spans="1:8" x14ac:dyDescent="0.3">
      <c r="A169" s="25" t="s">
        <v>345</v>
      </c>
      <c r="B169" s="25" t="s">
        <v>346</v>
      </c>
      <c r="C169" s="29">
        <v>0.46962880538757301</v>
      </c>
      <c r="F169" s="25" t="s">
        <v>54</v>
      </c>
      <c r="G169" s="25" t="s">
        <v>55</v>
      </c>
      <c r="H169" s="27">
        <v>68.0762</v>
      </c>
    </row>
    <row r="170" spans="1:8" x14ac:dyDescent="0.3">
      <c r="A170" s="25" t="s">
        <v>347</v>
      </c>
      <c r="B170" s="25" t="s">
        <v>348</v>
      </c>
      <c r="C170" s="29">
        <v>-0.75764333162040998</v>
      </c>
      <c r="F170" s="25" t="s">
        <v>44</v>
      </c>
      <c r="G170" s="25" t="s">
        <v>45</v>
      </c>
      <c r="H170" s="27">
        <v>67.624499999999998</v>
      </c>
    </row>
    <row r="171" spans="1:8" x14ac:dyDescent="0.3">
      <c r="A171" s="25" t="s">
        <v>349</v>
      </c>
      <c r="B171" s="25" t="s">
        <v>350</v>
      </c>
      <c r="C171" s="29">
        <v>-0.65368711334616902</v>
      </c>
      <c r="F171" s="25" t="s">
        <v>361</v>
      </c>
      <c r="G171" s="25" t="s">
        <v>362</v>
      </c>
      <c r="H171" s="27">
        <v>66.552400000000006</v>
      </c>
    </row>
    <row r="172" spans="1:8" x14ac:dyDescent="0.3">
      <c r="A172" s="25" t="s">
        <v>351</v>
      </c>
      <c r="B172" s="25" t="s">
        <v>352</v>
      </c>
      <c r="C172" s="29">
        <v>28.641191625623801</v>
      </c>
      <c r="F172" s="25" t="s">
        <v>394</v>
      </c>
      <c r="G172" s="25" t="s">
        <v>395</v>
      </c>
      <c r="H172" s="27">
        <v>65.912700000000001</v>
      </c>
    </row>
    <row r="173" spans="1:8" x14ac:dyDescent="0.3">
      <c r="A173" s="25" t="s">
        <v>353</v>
      </c>
      <c r="B173" s="25" t="s">
        <v>354</v>
      </c>
      <c r="C173" s="29">
        <v>123.932385688034</v>
      </c>
      <c r="F173" s="25" t="s">
        <v>411</v>
      </c>
      <c r="G173" s="25" t="s">
        <v>412</v>
      </c>
      <c r="H173" s="27">
        <v>65.664400000000001</v>
      </c>
    </row>
    <row r="174" spans="1:8" x14ac:dyDescent="0.3">
      <c r="A174" s="25" t="s">
        <v>355</v>
      </c>
      <c r="B174" s="25" t="s">
        <v>356</v>
      </c>
      <c r="C174" s="29">
        <v>0.126537331301698</v>
      </c>
      <c r="F174" s="25" t="s">
        <v>351</v>
      </c>
      <c r="G174" s="25" t="s">
        <v>352</v>
      </c>
      <c r="H174" s="27">
        <v>65.084400000000002</v>
      </c>
    </row>
    <row r="175" spans="1:8" x14ac:dyDescent="0.3">
      <c r="A175" s="25" t="s">
        <v>357</v>
      </c>
      <c r="B175" s="25" t="s">
        <v>358</v>
      </c>
      <c r="C175" s="29">
        <v>26.2272573205417</v>
      </c>
      <c r="F175" s="25" t="s">
        <v>201</v>
      </c>
      <c r="G175" s="25" t="s">
        <v>202</v>
      </c>
      <c r="H175" s="27">
        <v>64.622699999999995</v>
      </c>
    </row>
    <row r="176" spans="1:8" x14ac:dyDescent="0.3">
      <c r="A176" s="25" t="s">
        <v>359</v>
      </c>
      <c r="B176" s="25" t="s">
        <v>360</v>
      </c>
      <c r="C176" s="29">
        <v>3.1617417401697798</v>
      </c>
      <c r="F176" s="25" t="s">
        <v>199</v>
      </c>
      <c r="G176" s="25" t="s">
        <v>200</v>
      </c>
      <c r="H176" s="27">
        <v>64.555999999999997</v>
      </c>
    </row>
    <row r="177" spans="1:8" x14ac:dyDescent="0.3">
      <c r="A177" s="25" t="s">
        <v>361</v>
      </c>
      <c r="B177" s="25" t="s">
        <v>362</v>
      </c>
      <c r="C177" s="29">
        <v>18.686996027219401</v>
      </c>
      <c r="F177" s="25" t="s">
        <v>143</v>
      </c>
      <c r="G177" s="25" t="s">
        <v>144</v>
      </c>
      <c r="H177" s="27">
        <v>64.012699999999995</v>
      </c>
    </row>
    <row r="178" spans="1:8" x14ac:dyDescent="0.3">
      <c r="A178" s="25" t="s">
        <v>363</v>
      </c>
      <c r="B178" s="25" t="s">
        <v>310</v>
      </c>
      <c r="C178" s="29">
        <v>-0.57721334235164301</v>
      </c>
      <c r="F178" s="25" t="s">
        <v>116</v>
      </c>
      <c r="G178" s="25" t="s">
        <v>113</v>
      </c>
      <c r="H178" s="27">
        <v>61.939599999999999</v>
      </c>
    </row>
    <row r="179" spans="1:8" x14ac:dyDescent="0.3">
      <c r="A179" s="25" t="s">
        <v>364</v>
      </c>
      <c r="B179" s="25" t="s">
        <v>365</v>
      </c>
      <c r="C179" s="29">
        <v>4.2308184552377304</v>
      </c>
      <c r="F179" s="25" t="s">
        <v>299</v>
      </c>
      <c r="G179" s="25" t="s">
        <v>300</v>
      </c>
      <c r="H179" s="27">
        <v>61.185400000000001</v>
      </c>
    </row>
    <row r="180" spans="1:8" x14ac:dyDescent="0.3">
      <c r="A180" s="25" t="s">
        <v>366</v>
      </c>
      <c r="B180" s="25" t="s">
        <v>367</v>
      </c>
      <c r="C180" s="29">
        <v>8.0626994348150607</v>
      </c>
      <c r="F180" s="25" t="s">
        <v>185</v>
      </c>
      <c r="G180" s="25" t="s">
        <v>186</v>
      </c>
      <c r="H180" s="27">
        <v>60.316400000000002</v>
      </c>
    </row>
    <row r="181" spans="1:8" x14ac:dyDescent="0.3">
      <c r="A181" s="25" t="s">
        <v>368</v>
      </c>
      <c r="B181" s="25" t="s">
        <v>369</v>
      </c>
      <c r="C181" s="29">
        <v>17.023130645462899</v>
      </c>
      <c r="F181" s="25" t="s">
        <v>403</v>
      </c>
      <c r="G181" s="25" t="s">
        <v>404</v>
      </c>
      <c r="H181" s="27">
        <v>59.897799999999997</v>
      </c>
    </row>
    <row r="182" spans="1:8" x14ac:dyDescent="0.3">
      <c r="A182" s="25" t="s">
        <v>370</v>
      </c>
      <c r="B182" s="25" t="s">
        <v>371</v>
      </c>
      <c r="C182" s="29">
        <v>0.68255265378081997</v>
      </c>
      <c r="F182" s="25" t="s">
        <v>266</v>
      </c>
      <c r="G182" s="25" t="s">
        <v>267</v>
      </c>
      <c r="H182" s="27">
        <v>59.499499999999998</v>
      </c>
    </row>
    <row r="183" spans="1:8" x14ac:dyDescent="0.3">
      <c r="A183" s="25" t="s">
        <v>372</v>
      </c>
      <c r="B183" s="25" t="s">
        <v>373</v>
      </c>
      <c r="C183" s="29">
        <v>2.0152167805974299</v>
      </c>
      <c r="F183" s="25" t="s">
        <v>407</v>
      </c>
      <c r="G183" s="25" t="s">
        <v>408</v>
      </c>
      <c r="H183" s="27">
        <v>58.684399999999997</v>
      </c>
    </row>
    <row r="184" spans="1:8" x14ac:dyDescent="0.3">
      <c r="A184" s="25" t="s">
        <v>374</v>
      </c>
      <c r="B184" s="25" t="s">
        <v>375</v>
      </c>
      <c r="C184" s="29">
        <v>3.3825484570708801</v>
      </c>
      <c r="F184" s="25" t="s">
        <v>405</v>
      </c>
      <c r="G184" s="25" t="s">
        <v>406</v>
      </c>
      <c r="H184" s="27">
        <v>54.714599999999997</v>
      </c>
    </row>
    <row r="185" spans="1:8" x14ac:dyDescent="0.3">
      <c r="A185" s="25" t="s">
        <v>376</v>
      </c>
      <c r="B185" s="25" t="s">
        <v>377</v>
      </c>
      <c r="C185" s="29">
        <v>31.491032300818699</v>
      </c>
      <c r="F185" s="25" t="s">
        <v>94</v>
      </c>
      <c r="G185" s="25" t="s">
        <v>95</v>
      </c>
      <c r="H185" s="27">
        <v>53.492199999999997</v>
      </c>
    </row>
    <row r="186" spans="1:8" x14ac:dyDescent="0.3">
      <c r="A186" s="25" t="s">
        <v>378</v>
      </c>
      <c r="B186" s="25" t="s">
        <v>379</v>
      </c>
      <c r="C186" s="29">
        <v>65.966905691785598</v>
      </c>
      <c r="F186" s="25" t="s">
        <v>309</v>
      </c>
      <c r="G186" s="25" t="s">
        <v>310</v>
      </c>
      <c r="H186" s="27">
        <v>53.461300000000001</v>
      </c>
    </row>
    <row r="187" spans="1:8" x14ac:dyDescent="0.3">
      <c r="A187" s="25" t="s">
        <v>380</v>
      </c>
      <c r="B187" s="25" t="s">
        <v>381</v>
      </c>
      <c r="C187" s="29">
        <v>5.1783657524868101</v>
      </c>
      <c r="F187" s="25" t="s">
        <v>305</v>
      </c>
      <c r="G187" s="25" t="s">
        <v>306</v>
      </c>
      <c r="H187" s="27">
        <v>51.604100000000003</v>
      </c>
    </row>
    <row r="188" spans="1:8" x14ac:dyDescent="0.3">
      <c r="A188" s="25" t="s">
        <v>382</v>
      </c>
      <c r="B188" s="25" t="s">
        <v>383</v>
      </c>
      <c r="C188" s="29">
        <v>28.965353509000799</v>
      </c>
      <c r="F188" s="25" t="s">
        <v>237</v>
      </c>
      <c r="G188" s="25" t="s">
        <v>238</v>
      </c>
      <c r="H188" s="27">
        <v>49.929699999999997</v>
      </c>
    </row>
    <row r="189" spans="1:8" x14ac:dyDescent="0.3">
      <c r="A189" s="25" t="s">
        <v>384</v>
      </c>
      <c r="B189" s="25" t="s">
        <v>385</v>
      </c>
      <c r="C189" s="29">
        <v>98.659786450108996</v>
      </c>
      <c r="F189" s="25" t="s">
        <v>219</v>
      </c>
      <c r="G189" s="25" t="s">
        <v>220</v>
      </c>
      <c r="H189" s="27">
        <v>49.364199999999997</v>
      </c>
    </row>
    <row r="190" spans="1:8" x14ac:dyDescent="0.3">
      <c r="A190" s="25" t="s">
        <v>386</v>
      </c>
      <c r="B190" s="25" t="s">
        <v>387</v>
      </c>
      <c r="C190" s="29">
        <v>35.655152837455802</v>
      </c>
      <c r="F190" s="25" t="s">
        <v>147</v>
      </c>
      <c r="G190" s="25" t="s">
        <v>148</v>
      </c>
      <c r="H190" s="27">
        <v>46.363999999999997</v>
      </c>
    </row>
    <row r="191" spans="1:8" x14ac:dyDescent="0.3">
      <c r="A191" s="25" t="s">
        <v>388</v>
      </c>
      <c r="B191" s="25" t="s">
        <v>389</v>
      </c>
      <c r="C191" s="29">
        <v>15.715677385752</v>
      </c>
      <c r="F191" s="25" t="s">
        <v>382</v>
      </c>
      <c r="G191" s="25" t="s">
        <v>383</v>
      </c>
      <c r="H191" s="27">
        <v>46.069699999999997</v>
      </c>
    </row>
    <row r="192" spans="1:8" x14ac:dyDescent="0.3">
      <c r="A192" s="25" t="s">
        <v>390</v>
      </c>
      <c r="B192" s="25" t="s">
        <v>391</v>
      </c>
      <c r="C192" s="29">
        <v>8.8412579558217903</v>
      </c>
      <c r="F192" s="25" t="s">
        <v>295</v>
      </c>
      <c r="G192" s="25" t="s">
        <v>296</v>
      </c>
      <c r="H192" s="27">
        <v>46.037100000000002</v>
      </c>
    </row>
    <row r="193" spans="1:8" x14ac:dyDescent="0.3">
      <c r="A193" s="25" t="s">
        <v>392</v>
      </c>
      <c r="B193" s="25" t="s">
        <v>393</v>
      </c>
      <c r="C193" s="29">
        <v>91.447815070632799</v>
      </c>
      <c r="F193" s="25" t="s">
        <v>145</v>
      </c>
      <c r="G193" s="25" t="s">
        <v>146</v>
      </c>
      <c r="H193" s="27">
        <v>43.881300000000003</v>
      </c>
    </row>
    <row r="194" spans="1:8" x14ac:dyDescent="0.3">
      <c r="A194" s="25" t="s">
        <v>394</v>
      </c>
      <c r="B194" s="25" t="s">
        <v>395</v>
      </c>
      <c r="C194" s="29">
        <v>72.293874589957099</v>
      </c>
      <c r="F194" s="25" t="s">
        <v>434</v>
      </c>
      <c r="G194" s="25" t="s">
        <v>435</v>
      </c>
      <c r="H194" s="27">
        <v>43.3459</v>
      </c>
    </row>
    <row r="195" spans="1:8" x14ac:dyDescent="0.3">
      <c r="A195" s="25" t="s">
        <v>396</v>
      </c>
      <c r="B195" s="25" t="s">
        <v>397</v>
      </c>
      <c r="C195" s="29">
        <v>5.1095622512791401</v>
      </c>
      <c r="F195" s="25" t="s">
        <v>157</v>
      </c>
      <c r="G195" s="25" t="s">
        <v>158</v>
      </c>
      <c r="H195" s="27">
        <v>42.3581</v>
      </c>
    </row>
    <row r="196" spans="1:8" x14ac:dyDescent="0.3">
      <c r="A196" s="25" t="s">
        <v>398</v>
      </c>
      <c r="B196" s="25" t="s">
        <v>399</v>
      </c>
      <c r="C196" s="29">
        <v>1.2002836382736599</v>
      </c>
      <c r="F196" s="25" t="s">
        <v>442</v>
      </c>
      <c r="G196" s="25" t="s">
        <v>443</v>
      </c>
      <c r="H196" s="27">
        <v>41.627800000000001</v>
      </c>
    </row>
    <row r="197" spans="1:8" x14ac:dyDescent="0.3">
      <c r="A197" s="25" t="s">
        <v>400</v>
      </c>
      <c r="B197" s="25" t="s">
        <v>401</v>
      </c>
      <c r="C197" s="29">
        <v>145.83442593216401</v>
      </c>
      <c r="F197" s="25" t="s">
        <v>123</v>
      </c>
      <c r="G197" s="25" t="s">
        <v>124</v>
      </c>
      <c r="H197" s="27">
        <v>41.247300000000003</v>
      </c>
    </row>
    <row r="198" spans="1:8" x14ac:dyDescent="0.3">
      <c r="A198" s="25" t="s">
        <v>402</v>
      </c>
      <c r="B198" s="25" t="s">
        <v>399</v>
      </c>
      <c r="C198" s="29">
        <v>23.052818126325</v>
      </c>
      <c r="F198" s="25" t="s">
        <v>165</v>
      </c>
      <c r="G198" s="25" t="s">
        <v>166</v>
      </c>
      <c r="H198" s="27">
        <v>40.282899999999998</v>
      </c>
    </row>
    <row r="199" spans="1:8" x14ac:dyDescent="0.3">
      <c r="A199" s="25" t="s">
        <v>403</v>
      </c>
      <c r="B199" s="25" t="s">
        <v>404</v>
      </c>
      <c r="C199" s="29">
        <v>25.997072054603301</v>
      </c>
      <c r="F199" s="25" t="s">
        <v>121</v>
      </c>
      <c r="G199" s="25" t="s">
        <v>122</v>
      </c>
      <c r="H199" s="27">
        <v>40.088799999999999</v>
      </c>
    </row>
    <row r="200" spans="1:8" x14ac:dyDescent="0.3">
      <c r="A200" s="25" t="s">
        <v>405</v>
      </c>
      <c r="B200" s="25" t="s">
        <v>406</v>
      </c>
      <c r="C200" s="29">
        <v>34.960950385592703</v>
      </c>
      <c r="F200" s="25" t="s">
        <v>203</v>
      </c>
      <c r="G200" s="25" t="s">
        <v>204</v>
      </c>
      <c r="H200" s="27">
        <v>37.647300000000001</v>
      </c>
    </row>
    <row r="201" spans="1:8" x14ac:dyDescent="0.3">
      <c r="A201" s="25" t="s">
        <v>407</v>
      </c>
      <c r="B201" s="25" t="s">
        <v>408</v>
      </c>
      <c r="C201" s="29">
        <v>86.774347180471594</v>
      </c>
      <c r="F201" s="25" t="s">
        <v>235</v>
      </c>
      <c r="G201" s="25" t="s">
        <v>236</v>
      </c>
      <c r="H201" s="27">
        <v>36.939399999999999</v>
      </c>
    </row>
    <row r="202" spans="1:8" x14ac:dyDescent="0.3">
      <c r="A202" s="25" t="s">
        <v>409</v>
      </c>
      <c r="B202" s="25" t="s">
        <v>410</v>
      </c>
      <c r="C202" s="29">
        <v>18.688887810912099</v>
      </c>
      <c r="F202" s="25" t="s">
        <v>421</v>
      </c>
      <c r="G202" s="25" t="s">
        <v>344</v>
      </c>
      <c r="H202" s="27">
        <v>36.571599999999997</v>
      </c>
    </row>
    <row r="203" spans="1:8" x14ac:dyDescent="0.3">
      <c r="A203" s="25" t="s">
        <v>411</v>
      </c>
      <c r="B203" s="25" t="s">
        <v>412</v>
      </c>
      <c r="C203" s="29">
        <v>10.9871100602547</v>
      </c>
      <c r="F203" s="25" t="s">
        <v>323</v>
      </c>
      <c r="G203" s="25" t="s">
        <v>324</v>
      </c>
      <c r="H203" s="27">
        <v>36.062899999999999</v>
      </c>
    </row>
    <row r="204" spans="1:8" x14ac:dyDescent="0.3">
      <c r="A204" s="25" t="s">
        <v>413</v>
      </c>
      <c r="B204" s="25" t="s">
        <v>414</v>
      </c>
      <c r="C204" s="29">
        <v>13.055194439226</v>
      </c>
      <c r="F204" s="25" t="s">
        <v>187</v>
      </c>
      <c r="G204" s="25" t="s">
        <v>188</v>
      </c>
      <c r="H204" s="27">
        <v>35.893599999999999</v>
      </c>
    </row>
    <row r="205" spans="1:8" x14ac:dyDescent="0.3">
      <c r="A205" s="25" t="s">
        <v>415</v>
      </c>
      <c r="B205" s="25" t="s">
        <v>416</v>
      </c>
      <c r="C205" s="29">
        <v>3.4837025637473</v>
      </c>
      <c r="F205" s="25" t="s">
        <v>78</v>
      </c>
      <c r="G205" s="25" t="s">
        <v>79</v>
      </c>
      <c r="H205" s="27">
        <v>34.787599999999998</v>
      </c>
    </row>
    <row r="206" spans="1:8" x14ac:dyDescent="0.3">
      <c r="A206" s="25" t="s">
        <v>417</v>
      </c>
      <c r="B206" s="25" t="s">
        <v>418</v>
      </c>
      <c r="C206" s="29">
        <v>12.9982584933623</v>
      </c>
      <c r="F206" s="25" t="s">
        <v>448</v>
      </c>
      <c r="G206" s="25" t="s">
        <v>449</v>
      </c>
      <c r="H206" s="27">
        <v>33.504399999999997</v>
      </c>
    </row>
    <row r="207" spans="1:8" x14ac:dyDescent="0.3">
      <c r="A207" s="25" t="s">
        <v>419</v>
      </c>
      <c r="B207" s="25" t="s">
        <v>420</v>
      </c>
      <c r="C207" s="29">
        <v>0.64125359916487901</v>
      </c>
      <c r="F207" s="25" t="s">
        <v>233</v>
      </c>
      <c r="G207" s="25" t="s">
        <v>234</v>
      </c>
      <c r="H207" s="27">
        <v>33.187199999999997</v>
      </c>
    </row>
    <row r="208" spans="1:8" x14ac:dyDescent="0.3">
      <c r="A208" s="25" t="s">
        <v>421</v>
      </c>
      <c r="B208" s="25" t="s">
        <v>344</v>
      </c>
      <c r="C208" s="29">
        <v>97.392600735117298</v>
      </c>
      <c r="F208" s="25" t="s">
        <v>384</v>
      </c>
      <c r="G208" s="25" t="s">
        <v>385</v>
      </c>
      <c r="H208" s="27">
        <v>33.143900000000002</v>
      </c>
    </row>
    <row r="209" spans="1:8" x14ac:dyDescent="0.3">
      <c r="A209" s="25" t="s">
        <v>422</v>
      </c>
      <c r="B209" s="25" t="s">
        <v>423</v>
      </c>
      <c r="C209" s="29">
        <v>13.7713763754954</v>
      </c>
      <c r="F209" s="25" t="s">
        <v>329</v>
      </c>
      <c r="G209" s="25" t="s">
        <v>330</v>
      </c>
      <c r="H209" s="27">
        <v>31.777899999999999</v>
      </c>
    </row>
    <row r="210" spans="1:8" x14ac:dyDescent="0.3">
      <c r="A210" s="25" t="s">
        <v>424</v>
      </c>
      <c r="B210" s="25" t="s">
        <v>425</v>
      </c>
      <c r="C210" s="29">
        <v>-0.41915400631120098</v>
      </c>
      <c r="F210" s="25" t="s">
        <v>42</v>
      </c>
      <c r="G210" s="25" t="s">
        <v>43</v>
      </c>
      <c r="H210" s="27">
        <v>31.3916</v>
      </c>
    </row>
    <row r="211" spans="1:8" x14ac:dyDescent="0.3">
      <c r="A211" s="25" t="s">
        <v>426</v>
      </c>
      <c r="B211" s="25" t="s">
        <v>427</v>
      </c>
      <c r="C211" s="29">
        <v>4.0020047360795603</v>
      </c>
      <c r="F211" s="25" t="s">
        <v>249</v>
      </c>
      <c r="G211" s="25" t="s">
        <v>250</v>
      </c>
      <c r="H211" s="27">
        <v>31.3294</v>
      </c>
    </row>
    <row r="212" spans="1:8" x14ac:dyDescent="0.3">
      <c r="A212" s="25" t="s">
        <v>428</v>
      </c>
      <c r="B212" s="25" t="s">
        <v>429</v>
      </c>
      <c r="C212" s="29">
        <v>26.728023807541799</v>
      </c>
      <c r="F212" s="25" t="s">
        <v>341</v>
      </c>
      <c r="G212" s="25" t="s">
        <v>342</v>
      </c>
      <c r="H212" s="27">
        <v>30.586400000000001</v>
      </c>
    </row>
    <row r="213" spans="1:8" x14ac:dyDescent="0.3">
      <c r="A213" s="25" t="s">
        <v>430</v>
      </c>
      <c r="B213" s="25" t="s">
        <v>431</v>
      </c>
      <c r="C213" s="29">
        <v>-0.76403848888822401</v>
      </c>
      <c r="F213" s="25" t="s">
        <v>400</v>
      </c>
      <c r="G213" s="25" t="s">
        <v>401</v>
      </c>
      <c r="H213" s="27">
        <v>30.2453</v>
      </c>
    </row>
    <row r="214" spans="1:8" x14ac:dyDescent="0.3">
      <c r="A214" s="25" t="s">
        <v>432</v>
      </c>
      <c r="B214" s="25" t="s">
        <v>433</v>
      </c>
      <c r="C214" s="29">
        <v>436.47838353663599</v>
      </c>
      <c r="F214" s="25" t="s">
        <v>291</v>
      </c>
      <c r="G214" s="25" t="s">
        <v>292</v>
      </c>
      <c r="H214" s="27">
        <v>28.952999999999999</v>
      </c>
    </row>
    <row r="215" spans="1:8" x14ac:dyDescent="0.3">
      <c r="A215" s="25" t="s">
        <v>434</v>
      </c>
      <c r="B215" s="25" t="s">
        <v>435</v>
      </c>
      <c r="C215" s="29">
        <v>50.653145032051299</v>
      </c>
      <c r="F215" s="25" t="s">
        <v>262</v>
      </c>
      <c r="G215" s="25" t="s">
        <v>263</v>
      </c>
      <c r="H215" s="27">
        <v>28.015799999999999</v>
      </c>
    </row>
    <row r="216" spans="1:8" x14ac:dyDescent="0.3">
      <c r="A216" s="25" t="s">
        <v>436</v>
      </c>
      <c r="B216" s="25" t="s">
        <v>437</v>
      </c>
      <c r="C216" s="29">
        <v>-0.77268748176247404</v>
      </c>
      <c r="F216" s="25" t="s">
        <v>217</v>
      </c>
      <c r="G216" s="25" t="s">
        <v>218</v>
      </c>
      <c r="H216" s="27">
        <v>27.015799999999999</v>
      </c>
    </row>
    <row r="217" spans="1:8" x14ac:dyDescent="0.3">
      <c r="A217" s="25" t="s">
        <v>438</v>
      </c>
      <c r="B217" s="25" t="s">
        <v>439</v>
      </c>
      <c r="C217" s="29">
        <v>54.709448436137002</v>
      </c>
      <c r="F217" s="25" t="s">
        <v>82</v>
      </c>
      <c r="G217" s="25" t="s">
        <v>83</v>
      </c>
      <c r="H217" s="27">
        <v>23.847000000000001</v>
      </c>
    </row>
    <row r="218" spans="1:8" x14ac:dyDescent="0.3">
      <c r="A218" s="25" t="s">
        <v>440</v>
      </c>
      <c r="B218" s="25" t="s">
        <v>441</v>
      </c>
      <c r="C218" s="29">
        <v>56.964308689946201</v>
      </c>
      <c r="F218" s="25" t="s">
        <v>60</v>
      </c>
      <c r="G218" s="25" t="s">
        <v>61</v>
      </c>
      <c r="H218" s="27">
        <v>22.9664</v>
      </c>
    </row>
    <row r="219" spans="1:8" x14ac:dyDescent="0.3">
      <c r="A219" s="25" t="s">
        <v>442</v>
      </c>
      <c r="B219" s="25" t="s">
        <v>443</v>
      </c>
      <c r="C219" s="29">
        <v>30.010521024094199</v>
      </c>
      <c r="F219" s="25" t="s">
        <v>392</v>
      </c>
      <c r="G219" s="25" t="s">
        <v>393</v>
      </c>
      <c r="H219" s="27">
        <v>20.232399999999998</v>
      </c>
    </row>
    <row r="220" spans="1:8" x14ac:dyDescent="0.3">
      <c r="A220" s="25" t="s">
        <v>444</v>
      </c>
      <c r="B220" s="25" t="s">
        <v>445</v>
      </c>
      <c r="C220" s="29">
        <v>8.9615743975219093</v>
      </c>
      <c r="F220" s="25" t="s">
        <v>325</v>
      </c>
      <c r="G220" s="25" t="s">
        <v>326</v>
      </c>
      <c r="H220" s="27">
        <v>20.115100000000002</v>
      </c>
    </row>
    <row r="221" spans="1:8" x14ac:dyDescent="0.3">
      <c r="A221" s="25" t="s">
        <v>446</v>
      </c>
      <c r="B221" s="25" t="s">
        <v>447</v>
      </c>
      <c r="C221" s="29">
        <v>21.1910678203202</v>
      </c>
      <c r="F221" s="25" t="s">
        <v>353</v>
      </c>
      <c r="G221" s="25" t="s">
        <v>354</v>
      </c>
      <c r="H221" s="27">
        <v>19.074200000000001</v>
      </c>
    </row>
    <row r="222" spans="1:8" x14ac:dyDescent="0.3">
      <c r="A222" s="25" t="s">
        <v>448</v>
      </c>
      <c r="B222" s="25" t="s">
        <v>449</v>
      </c>
      <c r="C222" s="29">
        <v>40.525752773375601</v>
      </c>
      <c r="F222" s="25" t="s">
        <v>432</v>
      </c>
      <c r="G222" s="25" t="s">
        <v>433</v>
      </c>
      <c r="H222" s="27">
        <v>16.587700000000002</v>
      </c>
    </row>
    <row r="223" spans="1:8" x14ac:dyDescent="0.3">
      <c r="A223" s="25" t="s">
        <v>450</v>
      </c>
      <c r="B223" s="25" t="s">
        <v>451</v>
      </c>
      <c r="C223" s="29">
        <v>8.1077427244759495</v>
      </c>
      <c r="F223" s="25" t="s">
        <v>215</v>
      </c>
      <c r="G223" s="25" t="s">
        <v>216</v>
      </c>
      <c r="H223" s="27">
        <v>15.0482</v>
      </c>
    </row>
  </sheetData>
  <mergeCells count="4">
    <mergeCell ref="K11:M12"/>
    <mergeCell ref="F1:H2"/>
    <mergeCell ref="K1:W2"/>
    <mergeCell ref="A1:C2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7777-E902-4C47-9AA3-67A70F328851}">
  <dimension ref="A1:K42"/>
  <sheetViews>
    <sheetView zoomScale="84" workbookViewId="0">
      <selection activeCell="C4" sqref="C4"/>
    </sheetView>
  </sheetViews>
  <sheetFormatPr defaultRowHeight="14.4" x14ac:dyDescent="0.3"/>
  <cols>
    <col min="1" max="1" width="16.88671875" bestFit="1" customWidth="1"/>
    <col min="2" max="2" width="52.6640625" bestFit="1" customWidth="1"/>
    <col min="3" max="3" width="27.33203125" bestFit="1" customWidth="1"/>
    <col min="4" max="4" width="6.77734375" customWidth="1"/>
    <col min="5" max="5" width="16.88671875" bestFit="1" customWidth="1"/>
    <col min="6" max="6" width="52.77734375" bestFit="1" customWidth="1"/>
    <col min="7" max="7" width="30.21875" bestFit="1" customWidth="1"/>
    <col min="8" max="8" width="7.6640625" customWidth="1"/>
    <col min="9" max="9" width="19.88671875" customWidth="1"/>
    <col min="10" max="10" width="36.44140625" customWidth="1"/>
    <col min="11" max="11" width="39.33203125" customWidth="1"/>
  </cols>
  <sheetData>
    <row r="1" spans="1:11" ht="14.4" customHeight="1" x14ac:dyDescent="0.3">
      <c r="A1" s="62" t="s">
        <v>505</v>
      </c>
      <c r="B1" s="63"/>
      <c r="C1" s="63"/>
      <c r="E1" s="62" t="s">
        <v>506</v>
      </c>
      <c r="F1" s="63"/>
      <c r="G1" s="63"/>
      <c r="I1" s="64" t="s">
        <v>507</v>
      </c>
      <c r="J1" s="65"/>
      <c r="K1" s="65"/>
    </row>
    <row r="2" spans="1:11" x14ac:dyDescent="0.3">
      <c r="A2" s="63"/>
      <c r="B2" s="63"/>
      <c r="C2" s="63"/>
      <c r="E2" s="63"/>
      <c r="F2" s="63"/>
      <c r="G2" s="63"/>
      <c r="I2" s="65"/>
      <c r="J2" s="65"/>
      <c r="K2" s="65"/>
    </row>
    <row r="3" spans="1:11" ht="20.399999999999999" x14ac:dyDescent="0.7">
      <c r="A3" s="19" t="s">
        <v>0</v>
      </c>
      <c r="B3" s="19" t="s">
        <v>1</v>
      </c>
      <c r="C3" s="19" t="s">
        <v>458</v>
      </c>
      <c r="E3" s="19" t="s">
        <v>0</v>
      </c>
      <c r="F3" s="19" t="s">
        <v>1</v>
      </c>
      <c r="G3" s="19" t="s">
        <v>458</v>
      </c>
      <c r="I3" s="18" t="s">
        <v>2</v>
      </c>
      <c r="J3" s="18" t="s">
        <v>457</v>
      </c>
      <c r="K3" s="18" t="s">
        <v>459</v>
      </c>
    </row>
    <row r="4" spans="1:11" ht="20.399999999999999" x14ac:dyDescent="0.7">
      <c r="A4" s="13" t="s">
        <v>432</v>
      </c>
      <c r="B4" s="13" t="s">
        <v>433</v>
      </c>
      <c r="C4" s="15">
        <v>436.47838353663599</v>
      </c>
      <c r="E4" s="13" t="s">
        <v>268</v>
      </c>
      <c r="F4" s="13" t="s">
        <v>269</v>
      </c>
      <c r="G4" s="15">
        <v>-0.88362474652791101</v>
      </c>
      <c r="I4" s="14" t="s">
        <v>22</v>
      </c>
      <c r="J4" s="16">
        <v>4.3235809048113451E-2</v>
      </c>
      <c r="K4" s="16">
        <v>6.0123657514092148E-2</v>
      </c>
    </row>
    <row r="5" spans="1:11" ht="20.399999999999999" x14ac:dyDescent="0.7">
      <c r="A5" s="13" t="s">
        <v>215</v>
      </c>
      <c r="B5" s="13" t="s">
        <v>216</v>
      </c>
      <c r="C5" s="15">
        <v>243.22274521431399</v>
      </c>
      <c r="E5" s="13" t="s">
        <v>243</v>
      </c>
      <c r="F5" s="13" t="s">
        <v>244</v>
      </c>
      <c r="G5" s="15">
        <v>-0.83243482512123201</v>
      </c>
      <c r="I5" s="14" t="s">
        <v>25</v>
      </c>
      <c r="J5" s="16">
        <v>3.5008806097695376E-2</v>
      </c>
      <c r="K5" s="16">
        <v>8.2822863157971091E-2</v>
      </c>
    </row>
    <row r="6" spans="1:11" ht="20.399999999999999" x14ac:dyDescent="0.7">
      <c r="A6" s="13" t="s">
        <v>400</v>
      </c>
      <c r="B6" s="13" t="s">
        <v>401</v>
      </c>
      <c r="C6" s="15">
        <v>145.83442593216401</v>
      </c>
      <c r="E6" s="13" t="s">
        <v>278</v>
      </c>
      <c r="F6" s="13" t="s">
        <v>81</v>
      </c>
      <c r="G6" s="15">
        <v>-0.81276498826167698</v>
      </c>
      <c r="I6" s="14" t="s">
        <v>15</v>
      </c>
      <c r="J6" s="16">
        <v>2.3000001601056817E-3</v>
      </c>
      <c r="K6" s="16">
        <v>1.275391674025866E-2</v>
      </c>
    </row>
    <row r="7" spans="1:11" ht="20.399999999999999" x14ac:dyDescent="0.7">
      <c r="A7" s="13" t="s">
        <v>235</v>
      </c>
      <c r="B7" s="13" t="s">
        <v>236</v>
      </c>
      <c r="C7" s="15">
        <v>143.94369149084801</v>
      </c>
      <c r="E7" s="13" t="s">
        <v>100</v>
      </c>
      <c r="F7" s="13" t="s">
        <v>101</v>
      </c>
      <c r="G7" s="15">
        <v>-0.797122957275054</v>
      </c>
      <c r="I7" s="14" t="s">
        <v>30</v>
      </c>
      <c r="J7" s="16">
        <v>3.0680985644618318E-2</v>
      </c>
      <c r="K7" s="16">
        <v>5.4056344772893901E-2</v>
      </c>
    </row>
    <row r="8" spans="1:11" ht="20.399999999999999" x14ac:dyDescent="0.7">
      <c r="A8" s="13" t="s">
        <v>217</v>
      </c>
      <c r="B8" s="13" t="s">
        <v>218</v>
      </c>
      <c r="C8" s="15">
        <v>130.97419430172801</v>
      </c>
      <c r="E8" s="13" t="s">
        <v>92</v>
      </c>
      <c r="F8" s="13" t="s">
        <v>93</v>
      </c>
      <c r="G8" s="15">
        <v>-0.790013049022806</v>
      </c>
      <c r="I8" s="14" t="s">
        <v>39</v>
      </c>
      <c r="J8" s="16">
        <v>3.6600005717873562E-3</v>
      </c>
      <c r="K8" s="16">
        <v>2.2098071038931431E-2</v>
      </c>
    </row>
    <row r="9" spans="1:11" ht="20.399999999999999" x14ac:dyDescent="0.7">
      <c r="I9" s="20" t="s">
        <v>460</v>
      </c>
      <c r="J9" s="21">
        <v>2.730510621416328E-2</v>
      </c>
      <c r="K9" s="21">
        <v>5.3864403293949183E-2</v>
      </c>
    </row>
    <row r="11" spans="1:11" x14ac:dyDescent="0.3">
      <c r="A11" s="62" t="s">
        <v>508</v>
      </c>
      <c r="B11" s="63"/>
      <c r="C11" s="63"/>
      <c r="E11" s="64" t="s">
        <v>509</v>
      </c>
      <c r="F11" s="65"/>
      <c r="G11" s="65"/>
    </row>
    <row r="12" spans="1:11" x14ac:dyDescent="0.3">
      <c r="A12" s="63"/>
      <c r="B12" s="63"/>
      <c r="C12" s="63"/>
      <c r="E12" s="65"/>
      <c r="F12" s="65"/>
      <c r="G12" s="65"/>
    </row>
    <row r="13" spans="1:11" ht="20.399999999999999" x14ac:dyDescent="0.7">
      <c r="A13" s="18" t="s">
        <v>0</v>
      </c>
      <c r="B13" s="18" t="s">
        <v>1</v>
      </c>
      <c r="C13" s="18" t="s">
        <v>458</v>
      </c>
      <c r="E13" s="18" t="s">
        <v>0</v>
      </c>
      <c r="F13" s="18" t="s">
        <v>1</v>
      </c>
      <c r="G13" s="18" t="s">
        <v>461</v>
      </c>
    </row>
    <row r="14" spans="1:11" ht="20.399999999999999" x14ac:dyDescent="0.7">
      <c r="A14" s="14" t="s">
        <v>268</v>
      </c>
      <c r="B14" s="14" t="s">
        <v>269</v>
      </c>
      <c r="C14" s="17">
        <v>-0.88362474652791101</v>
      </c>
      <c r="E14" s="14" t="s">
        <v>333</v>
      </c>
      <c r="F14" s="14" t="s">
        <v>334</v>
      </c>
      <c r="G14" s="22">
        <v>4762.7</v>
      </c>
    </row>
    <row r="15" spans="1:11" ht="20.399999999999999" x14ac:dyDescent="0.7">
      <c r="A15" s="14" t="s">
        <v>243</v>
      </c>
      <c r="B15" s="14" t="s">
        <v>244</v>
      </c>
      <c r="C15" s="17">
        <v>-0.83243482512123201</v>
      </c>
      <c r="E15" s="14" t="s">
        <v>349</v>
      </c>
      <c r="F15" s="14" t="s">
        <v>350</v>
      </c>
      <c r="G15" s="22">
        <v>3378.5050000000001</v>
      </c>
    </row>
    <row r="16" spans="1:11" ht="20.399999999999999" x14ac:dyDescent="0.7">
      <c r="A16" s="14" t="s">
        <v>278</v>
      </c>
      <c r="B16" s="14" t="s">
        <v>81</v>
      </c>
      <c r="C16" s="17">
        <v>-0.81276498826167698</v>
      </c>
      <c r="E16" s="14" t="s">
        <v>347</v>
      </c>
      <c r="F16" s="14" t="s">
        <v>348</v>
      </c>
      <c r="G16" s="22">
        <v>3340.3622</v>
      </c>
    </row>
    <row r="17" spans="1:7" ht="20.399999999999999" x14ac:dyDescent="0.7">
      <c r="A17" s="14" t="s">
        <v>100</v>
      </c>
      <c r="B17" s="14" t="s">
        <v>101</v>
      </c>
      <c r="C17" s="17">
        <v>-0.797122957275054</v>
      </c>
      <c r="E17" s="14" t="s">
        <v>278</v>
      </c>
      <c r="F17" s="14" t="s">
        <v>81</v>
      </c>
      <c r="G17" s="22">
        <v>2944.5</v>
      </c>
    </row>
    <row r="18" spans="1:7" ht="20.399999999999999" x14ac:dyDescent="0.7">
      <c r="A18" s="14" t="s">
        <v>92</v>
      </c>
      <c r="B18" s="14" t="s">
        <v>93</v>
      </c>
      <c r="C18" s="17">
        <v>-0.790013049022806</v>
      </c>
      <c r="E18" s="14" t="s">
        <v>183</v>
      </c>
      <c r="F18" s="14" t="s">
        <v>184</v>
      </c>
      <c r="G18" s="22">
        <v>2891.9160000000002</v>
      </c>
    </row>
    <row r="19" spans="1:7" ht="20.399999999999999" x14ac:dyDescent="0.7">
      <c r="A19" s="14" t="s">
        <v>436</v>
      </c>
      <c r="B19" s="14" t="s">
        <v>437</v>
      </c>
      <c r="C19" s="17">
        <v>-0.77268748176247404</v>
      </c>
    </row>
    <row r="20" spans="1:7" ht="20.399999999999999" x14ac:dyDescent="0.7">
      <c r="A20" s="14" t="s">
        <v>430</v>
      </c>
      <c r="B20" s="14" t="s">
        <v>431</v>
      </c>
      <c r="C20" s="17">
        <v>-0.76403848888822401</v>
      </c>
    </row>
    <row r="21" spans="1:7" ht="20.399999999999999" x14ac:dyDescent="0.7">
      <c r="A21" s="14" t="s">
        <v>347</v>
      </c>
      <c r="B21" s="14" t="s">
        <v>348</v>
      </c>
      <c r="C21" s="17">
        <v>-0.75764333162040998</v>
      </c>
    </row>
    <row r="22" spans="1:7" ht="20.399999999999999" x14ac:dyDescent="0.7">
      <c r="A22" s="14" t="s">
        <v>183</v>
      </c>
      <c r="B22" s="14" t="s">
        <v>184</v>
      </c>
      <c r="C22" s="17">
        <v>-0.73779704653365796</v>
      </c>
    </row>
    <row r="23" spans="1:7" ht="20.399999999999999" x14ac:dyDescent="0.7">
      <c r="A23" s="14" t="s">
        <v>86</v>
      </c>
      <c r="B23" s="14" t="s">
        <v>87</v>
      </c>
      <c r="C23" s="17">
        <v>-0.70518845618234804</v>
      </c>
    </row>
    <row r="24" spans="1:7" ht="20.399999999999999" x14ac:dyDescent="0.7">
      <c r="A24" s="14" t="s">
        <v>133</v>
      </c>
      <c r="B24" s="14" t="s">
        <v>134</v>
      </c>
      <c r="C24" s="17">
        <v>-0.69447696683615801</v>
      </c>
    </row>
    <row r="25" spans="1:7" ht="20.399999999999999" x14ac:dyDescent="0.7">
      <c r="A25" s="14" t="s">
        <v>349</v>
      </c>
      <c r="B25" s="14" t="s">
        <v>350</v>
      </c>
      <c r="C25" s="17">
        <v>-0.65368711334616902</v>
      </c>
    </row>
    <row r="26" spans="1:7" ht="20.399999999999999" x14ac:dyDescent="0.7">
      <c r="A26" s="14" t="s">
        <v>315</v>
      </c>
      <c r="B26" s="14" t="s">
        <v>316</v>
      </c>
      <c r="C26" s="17">
        <v>-0.58684723430881103</v>
      </c>
    </row>
    <row r="27" spans="1:7" ht="20.399999999999999" x14ac:dyDescent="0.7">
      <c r="A27" s="14" t="s">
        <v>363</v>
      </c>
      <c r="B27" s="14" t="s">
        <v>310</v>
      </c>
      <c r="C27" s="17">
        <v>-0.57721334235164301</v>
      </c>
    </row>
    <row r="28" spans="1:7" ht="20.399999999999999" x14ac:dyDescent="0.7">
      <c r="A28" s="14" t="s">
        <v>66</v>
      </c>
      <c r="B28" s="14" t="s">
        <v>67</v>
      </c>
      <c r="C28" s="17">
        <v>-0.57201010763004401</v>
      </c>
    </row>
    <row r="29" spans="1:7" ht="20.399999999999999" x14ac:dyDescent="0.7">
      <c r="A29" s="14" t="s">
        <v>62</v>
      </c>
      <c r="B29" s="14" t="s">
        <v>63</v>
      </c>
      <c r="C29" s="17">
        <v>-0.56679241211306297</v>
      </c>
    </row>
    <row r="30" spans="1:7" ht="20.399999999999999" x14ac:dyDescent="0.7">
      <c r="A30" s="14" t="s">
        <v>112</v>
      </c>
      <c r="B30" s="14" t="s">
        <v>113</v>
      </c>
      <c r="C30" s="17">
        <v>-0.55265293001041005</v>
      </c>
    </row>
    <row r="31" spans="1:7" ht="20.399999999999999" x14ac:dyDescent="0.7">
      <c r="A31" s="14" t="s">
        <v>293</v>
      </c>
      <c r="B31" s="14" t="s">
        <v>294</v>
      </c>
      <c r="C31" s="17">
        <v>-0.54219478478536898</v>
      </c>
    </row>
    <row r="32" spans="1:7" ht="20.399999999999999" x14ac:dyDescent="0.7">
      <c r="A32" s="14" t="s">
        <v>13</v>
      </c>
      <c r="B32" s="14" t="s">
        <v>14</v>
      </c>
      <c r="C32" s="17">
        <v>-0.45467937152424198</v>
      </c>
    </row>
    <row r="33" spans="1:3" ht="20.399999999999999" x14ac:dyDescent="0.7">
      <c r="A33" s="14" t="s">
        <v>333</v>
      </c>
      <c r="B33" s="14" t="s">
        <v>334</v>
      </c>
      <c r="C33" s="17">
        <v>-0.43275872929220799</v>
      </c>
    </row>
    <row r="34" spans="1:3" ht="20.399999999999999" x14ac:dyDescent="0.7">
      <c r="A34" s="14" t="s">
        <v>343</v>
      </c>
      <c r="B34" s="14" t="s">
        <v>344</v>
      </c>
      <c r="C34" s="17">
        <v>-0.43236837039176002</v>
      </c>
    </row>
    <row r="35" spans="1:3" ht="20.399999999999999" x14ac:dyDescent="0.7">
      <c r="A35" s="14" t="s">
        <v>37</v>
      </c>
      <c r="B35" s="14" t="s">
        <v>38</v>
      </c>
      <c r="C35" s="17">
        <v>-0.42035498564854101</v>
      </c>
    </row>
    <row r="36" spans="1:3" ht="20.399999999999999" x14ac:dyDescent="0.7">
      <c r="A36" s="14" t="s">
        <v>424</v>
      </c>
      <c r="B36" s="14" t="s">
        <v>425</v>
      </c>
      <c r="C36" s="17">
        <v>-0.41915400631120098</v>
      </c>
    </row>
    <row r="37" spans="1:3" ht="20.399999999999999" x14ac:dyDescent="0.7">
      <c r="A37" s="14" t="s">
        <v>283</v>
      </c>
      <c r="B37" s="14" t="s">
        <v>284</v>
      </c>
      <c r="C37" s="17">
        <v>-0.385200791535527</v>
      </c>
    </row>
    <row r="38" spans="1:3" ht="20.399999999999999" x14ac:dyDescent="0.7">
      <c r="A38" s="14" t="s">
        <v>80</v>
      </c>
      <c r="B38" s="14" t="s">
        <v>81</v>
      </c>
      <c r="C38" s="17">
        <v>-0.25191297040173399</v>
      </c>
    </row>
    <row r="39" spans="1:3" ht="20.399999999999999" x14ac:dyDescent="0.7">
      <c r="A39" s="14" t="s">
        <v>241</v>
      </c>
      <c r="B39" s="14" t="s">
        <v>242</v>
      </c>
      <c r="C39" s="17">
        <v>-0.24489784752087401</v>
      </c>
    </row>
    <row r="40" spans="1:3" ht="20.399999999999999" x14ac:dyDescent="0.7">
      <c r="A40" s="14" t="s">
        <v>339</v>
      </c>
      <c r="B40" s="14" t="s">
        <v>340</v>
      </c>
      <c r="C40" s="17">
        <v>-0.18955800747090401</v>
      </c>
    </row>
    <row r="41" spans="1:3" ht="20.399999999999999" x14ac:dyDescent="0.7">
      <c r="A41" s="14" t="s">
        <v>195</v>
      </c>
      <c r="B41" s="14" t="s">
        <v>196</v>
      </c>
      <c r="C41" s="17">
        <v>-6.0364167125330097E-2</v>
      </c>
    </row>
    <row r="42" spans="1:3" ht="20.399999999999999" x14ac:dyDescent="0.7">
      <c r="A42" s="14" t="s">
        <v>245</v>
      </c>
      <c r="B42" s="14" t="s">
        <v>246</v>
      </c>
      <c r="C42" s="17">
        <v>-4.8675430969302901E-2</v>
      </c>
    </row>
  </sheetData>
  <mergeCells count="5">
    <mergeCell ref="A1:C2"/>
    <mergeCell ref="E1:G2"/>
    <mergeCell ref="I1:K2"/>
    <mergeCell ref="A11:C12"/>
    <mergeCell ref="E11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E111-EFE5-4B97-957C-CB4F017CEAE4}">
  <dimension ref="A1:N21"/>
  <sheetViews>
    <sheetView zoomScale="80" zoomScaleNormal="80" workbookViewId="0">
      <selection activeCell="I14" sqref="I14"/>
    </sheetView>
  </sheetViews>
  <sheetFormatPr defaultRowHeight="14.4" x14ac:dyDescent="0.3"/>
  <cols>
    <col min="1" max="1" width="14.6640625" bestFit="1" customWidth="1"/>
    <col min="2" max="2" width="27.88671875" bestFit="1" customWidth="1"/>
    <col min="3" max="3" width="21.44140625" bestFit="1" customWidth="1"/>
    <col min="4" max="4" width="21.21875" bestFit="1" customWidth="1"/>
    <col min="5" max="5" width="14.6640625" bestFit="1" customWidth="1"/>
    <col min="6" max="6" width="21.44140625" bestFit="1" customWidth="1"/>
    <col min="7" max="7" width="28.21875" bestFit="1" customWidth="1"/>
    <col min="8" max="8" width="19.109375" bestFit="1" customWidth="1"/>
    <col min="9" max="9" width="32.5546875" bestFit="1" customWidth="1"/>
    <col min="10" max="10" width="27.109375" bestFit="1" customWidth="1"/>
    <col min="11" max="11" width="31.5546875" bestFit="1" customWidth="1"/>
    <col min="12" max="12" width="18.109375" bestFit="1" customWidth="1"/>
    <col min="13" max="13" width="16.77734375" bestFit="1" customWidth="1"/>
    <col min="14" max="14" width="21.21875" bestFit="1" customWidth="1"/>
  </cols>
  <sheetData>
    <row r="1" spans="1:14" ht="14.4" customHeight="1" x14ac:dyDescent="0.3">
      <c r="A1" s="67" t="s">
        <v>510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14.4" customHeight="1" x14ac:dyDescent="0.3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20.399999999999999" x14ac:dyDescent="0.7">
      <c r="A3" s="33" t="s">
        <v>2</v>
      </c>
      <c r="B3" s="33" t="s">
        <v>474</v>
      </c>
      <c r="C3" s="33" t="s">
        <v>462</v>
      </c>
      <c r="D3" s="33" t="s">
        <v>464</v>
      </c>
      <c r="E3" s="33" t="s">
        <v>465</v>
      </c>
      <c r="F3" s="33" t="s">
        <v>466</v>
      </c>
      <c r="G3" s="33" t="s">
        <v>463</v>
      </c>
      <c r="H3" s="33" t="s">
        <v>457</v>
      </c>
      <c r="I3" s="33" t="s">
        <v>459</v>
      </c>
      <c r="J3" s="33" t="s">
        <v>467</v>
      </c>
      <c r="K3" s="33" t="s">
        <v>469</v>
      </c>
      <c r="L3" s="33" t="s">
        <v>468</v>
      </c>
      <c r="M3" s="33" t="s">
        <v>476</v>
      </c>
      <c r="N3" s="33" t="s">
        <v>470</v>
      </c>
    </row>
    <row r="4" spans="1:14" ht="20.399999999999999" x14ac:dyDescent="0.7">
      <c r="A4" s="34" t="s">
        <v>22</v>
      </c>
      <c r="B4" s="35">
        <v>23.357142857142858</v>
      </c>
      <c r="C4" s="36">
        <v>1464045</v>
      </c>
      <c r="D4" s="35">
        <v>17352395</v>
      </c>
      <c r="E4" s="35">
        <v>676044</v>
      </c>
      <c r="F4" s="35">
        <v>41194</v>
      </c>
      <c r="G4" s="36">
        <v>111324460</v>
      </c>
      <c r="H4" s="37">
        <v>4.3235809048113451E-2</v>
      </c>
      <c r="I4" s="38">
        <v>6.0123657514092148E-2</v>
      </c>
      <c r="J4" s="36">
        <v>2.4396571428571399</v>
      </c>
      <c r="K4" s="36">
        <v>44.5822619047619</v>
      </c>
      <c r="L4" s="47">
        <v>80.791125662887396</v>
      </c>
      <c r="M4" s="39">
        <v>75.038960551076002</v>
      </c>
      <c r="N4" s="36">
        <v>2680688</v>
      </c>
    </row>
    <row r="5" spans="1:14" ht="20.399999999999999" x14ac:dyDescent="0.7">
      <c r="A5" s="34" t="s">
        <v>25</v>
      </c>
      <c r="B5" s="35">
        <v>21.310344827586206</v>
      </c>
      <c r="C5" s="36">
        <v>11197820</v>
      </c>
      <c r="D5" s="35">
        <v>46637305.306442201</v>
      </c>
      <c r="E5" s="35">
        <v>1481071</v>
      </c>
      <c r="F5" s="35">
        <v>114747.09231891471</v>
      </c>
      <c r="G5" s="36">
        <v>376734075</v>
      </c>
      <c r="H5" s="37">
        <v>3.5008806097695383E-2</v>
      </c>
      <c r="I5" s="38">
        <v>7.8408107153541309E-2</v>
      </c>
      <c r="J5" s="36">
        <v>8.2388310344827609</v>
      </c>
      <c r="K5" s="36">
        <v>175.6699054654631</v>
      </c>
      <c r="L5" s="47">
        <v>34.989245558257579</v>
      </c>
      <c r="M5" s="39">
        <v>32.6435194528935</v>
      </c>
      <c r="N5" s="36">
        <v>6417473.7543859649</v>
      </c>
    </row>
    <row r="6" spans="1:14" ht="20.399999999999999" x14ac:dyDescent="0.7">
      <c r="A6" s="34" t="s">
        <v>15</v>
      </c>
      <c r="B6" s="35">
        <v>26.25</v>
      </c>
      <c r="C6" s="36">
        <v>6897985</v>
      </c>
      <c r="D6" s="35">
        <v>251071985.10082534</v>
      </c>
      <c r="E6" s="35">
        <v>418566</v>
      </c>
      <c r="F6" s="35">
        <v>5760</v>
      </c>
      <c r="G6" s="36">
        <v>6962828</v>
      </c>
      <c r="H6" s="37">
        <v>4.3443005312050389E-3</v>
      </c>
      <c r="I6" s="38">
        <v>1.275391674025866E-2</v>
      </c>
      <c r="J6" s="36">
        <v>19.3508</v>
      </c>
      <c r="K6" s="36">
        <v>1917.0975874999999</v>
      </c>
      <c r="L6" s="47">
        <v>-5.9336665176189844E-2</v>
      </c>
      <c r="M6" s="39">
        <v>9.40028138652085E-3</v>
      </c>
      <c r="N6" s="36">
        <v>4052.6875</v>
      </c>
    </row>
    <row r="7" spans="1:14" ht="20.399999999999999" x14ac:dyDescent="0.7">
      <c r="A7" s="34" t="s">
        <v>30</v>
      </c>
      <c r="B7" s="35">
        <v>21.3125</v>
      </c>
      <c r="C7" s="36">
        <v>8477891</v>
      </c>
      <c r="D7" s="35">
        <v>52593569.306442201</v>
      </c>
      <c r="E7" s="35">
        <v>1484151.3329628827</v>
      </c>
      <c r="F7" s="35">
        <v>78950.399232560449</v>
      </c>
      <c r="G7" s="36">
        <v>163859311</v>
      </c>
      <c r="H7" s="37">
        <v>3.0488636786684394E-2</v>
      </c>
      <c r="I7" s="38">
        <v>5.3911880690853516E-2</v>
      </c>
      <c r="J7" s="36">
        <v>6.0751654260319601</v>
      </c>
      <c r="K7" s="36">
        <v>233.88476766010891</v>
      </c>
      <c r="L7" s="47">
        <v>19.919464759951438</v>
      </c>
      <c r="M7" s="39">
        <v>18.327838845769499</v>
      </c>
      <c r="N7" s="36">
        <v>2427834.6875</v>
      </c>
    </row>
    <row r="8" spans="1:14" ht="20.399999999999999" x14ac:dyDescent="0.7">
      <c r="A8" s="34" t="s">
        <v>39</v>
      </c>
      <c r="B8" s="35">
        <v>22.725000000000001</v>
      </c>
      <c r="C8" s="36">
        <v>19134047</v>
      </c>
      <c r="D8" s="35">
        <v>264733195</v>
      </c>
      <c r="E8" s="35">
        <v>741974</v>
      </c>
      <c r="F8" s="35">
        <v>16030.562146177568</v>
      </c>
      <c r="G8" s="36">
        <v>25344413</v>
      </c>
      <c r="H8" s="37">
        <v>3.6600005717873562E-3</v>
      </c>
      <c r="I8" s="38">
        <v>2.12328504224134E-2</v>
      </c>
      <c r="J8" s="36">
        <v>27.412352500000001</v>
      </c>
      <c r="K8" s="36">
        <v>1536.5130327967438</v>
      </c>
      <c r="L8" s="47">
        <v>0.40376872253916885</v>
      </c>
      <c r="M8" s="39">
        <v>0.32457148244696998</v>
      </c>
      <c r="N8" s="36">
        <v>190398.815789474</v>
      </c>
    </row>
    <row r="9" spans="1:14" ht="20.399999999999999" x14ac:dyDescent="0.7">
      <c r="A9" s="40" t="s">
        <v>453</v>
      </c>
      <c r="B9" s="41">
        <v>22.318181818181817</v>
      </c>
      <c r="C9" s="42">
        <v>47171788</v>
      </c>
      <c r="D9" s="41">
        <v>632388449.71370983</v>
      </c>
      <c r="E9" s="41">
        <v>4801806.3329628827</v>
      </c>
      <c r="F9" s="41">
        <v>256682.05369765274</v>
      </c>
      <c r="G9" s="42">
        <v>684225087</v>
      </c>
      <c r="H9" s="43">
        <v>2.7334528724571233E-2</v>
      </c>
      <c r="I9" s="43">
        <v>5.2620913088420727E-2</v>
      </c>
      <c r="J9" s="44">
        <v>10.796524033027501</v>
      </c>
      <c r="K9" s="44">
        <v>541.65462435960728</v>
      </c>
      <c r="L9" s="45">
        <v>30.53732740022976</v>
      </c>
      <c r="M9" s="48">
        <v>13.504964005180399</v>
      </c>
      <c r="N9" s="44">
        <v>2955489.0277777798</v>
      </c>
    </row>
    <row r="12" spans="1:14" x14ac:dyDescent="0.3">
      <c r="A12" s="66" t="s">
        <v>511</v>
      </c>
      <c r="B12" s="66"/>
      <c r="C12" s="66"/>
    </row>
    <row r="13" spans="1:14" x14ac:dyDescent="0.3">
      <c r="A13" s="66"/>
      <c r="B13" s="66"/>
      <c r="C13" s="66"/>
    </row>
    <row r="14" spans="1:14" ht="20.399999999999999" x14ac:dyDescent="0.7">
      <c r="A14" s="33" t="s">
        <v>2</v>
      </c>
      <c r="B14" s="33" t="s">
        <v>476</v>
      </c>
      <c r="C14" s="33" t="s">
        <v>475</v>
      </c>
    </row>
    <row r="15" spans="1:14" ht="20.399999999999999" x14ac:dyDescent="0.7">
      <c r="A15" s="34" t="s">
        <v>22</v>
      </c>
      <c r="B15" s="46">
        <v>75.038960551076002</v>
      </c>
      <c r="C15" s="34">
        <v>1</v>
      </c>
      <c r="K15" s="20"/>
    </row>
    <row r="16" spans="1:14" ht="20.399999999999999" x14ac:dyDescent="0.7">
      <c r="A16" s="34" t="s">
        <v>25</v>
      </c>
      <c r="B16" s="46">
        <v>32.6435194528935</v>
      </c>
      <c r="C16" s="34">
        <v>2</v>
      </c>
      <c r="K16" s="49"/>
    </row>
    <row r="17" spans="1:11" ht="20.399999999999999" x14ac:dyDescent="0.7">
      <c r="A17" s="34" t="s">
        <v>30</v>
      </c>
      <c r="B17" s="46">
        <v>18.327838845769499</v>
      </c>
      <c r="C17" s="34">
        <v>3</v>
      </c>
      <c r="K17" s="49"/>
    </row>
    <row r="18" spans="1:11" ht="20.399999999999999" x14ac:dyDescent="0.7">
      <c r="A18" s="34" t="s">
        <v>39</v>
      </c>
      <c r="B18" s="46">
        <v>0.32457148244696998</v>
      </c>
      <c r="C18" s="34">
        <v>4</v>
      </c>
      <c r="K18" s="49"/>
    </row>
    <row r="19" spans="1:11" ht="20.399999999999999" x14ac:dyDescent="0.7">
      <c r="A19" s="34" t="s">
        <v>15</v>
      </c>
      <c r="B19" s="46">
        <v>9.40028138652085E-3</v>
      </c>
      <c r="C19" s="34">
        <v>5</v>
      </c>
      <c r="K19" s="49"/>
    </row>
    <row r="20" spans="1:11" ht="20.399999999999999" x14ac:dyDescent="0.7">
      <c r="K20" s="49"/>
    </row>
    <row r="21" spans="1:11" ht="20.399999999999999" x14ac:dyDescent="0.7">
      <c r="K21" s="50"/>
    </row>
  </sheetData>
  <mergeCells count="2">
    <mergeCell ref="A12:C13"/>
    <mergeCell ref="A1:N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8598-5167-442B-AB66-52B7299EEC53}">
  <dimension ref="A1:L30"/>
  <sheetViews>
    <sheetView zoomScale="98" zoomScaleNormal="98" workbookViewId="0">
      <selection activeCell="H4" sqref="H4"/>
    </sheetView>
  </sheetViews>
  <sheetFormatPr defaultRowHeight="14.4" x14ac:dyDescent="0.3"/>
  <cols>
    <col min="1" max="1" width="12.77734375" bestFit="1" customWidth="1"/>
    <col min="2" max="2" width="24.6640625" customWidth="1"/>
    <col min="3" max="3" width="30" customWidth="1"/>
    <col min="4" max="4" width="2.6640625" customWidth="1"/>
    <col min="5" max="5" width="3.109375" customWidth="1"/>
    <col min="6" max="6" width="14.77734375" bestFit="1" customWidth="1"/>
    <col min="7" max="7" width="40.21875" bestFit="1" customWidth="1"/>
    <col min="8" max="8" width="7.88671875" bestFit="1" customWidth="1"/>
    <col min="9" max="9" width="3.44140625" customWidth="1"/>
    <col min="10" max="10" width="3.5546875" customWidth="1"/>
    <col min="11" max="11" width="19.33203125" customWidth="1"/>
    <col min="12" max="12" width="17.77734375" customWidth="1"/>
  </cols>
  <sheetData>
    <row r="1" spans="1:12" ht="14.4" customHeight="1" x14ac:dyDescent="0.3">
      <c r="A1" s="70" t="s">
        <v>485</v>
      </c>
      <c r="B1" s="71"/>
      <c r="C1" s="71"/>
      <c r="F1" s="70" t="s">
        <v>487</v>
      </c>
      <c r="G1" s="70"/>
      <c r="H1" s="70"/>
      <c r="K1" s="70" t="s">
        <v>503</v>
      </c>
      <c r="L1" s="72"/>
    </row>
    <row r="2" spans="1:12" x14ac:dyDescent="0.3">
      <c r="A2" s="71"/>
      <c r="B2" s="71"/>
      <c r="C2" s="71"/>
      <c r="F2" s="70"/>
      <c r="G2" s="70"/>
      <c r="H2" s="70"/>
      <c r="K2" s="72"/>
      <c r="L2" s="72"/>
    </row>
    <row r="3" spans="1:12" x14ac:dyDescent="0.3">
      <c r="A3" s="24" t="s">
        <v>482</v>
      </c>
      <c r="B3" s="25" t="s">
        <v>483</v>
      </c>
      <c r="C3" s="25" t="s">
        <v>484</v>
      </c>
      <c r="F3" s="24" t="s">
        <v>0</v>
      </c>
      <c r="G3" s="24" t="s">
        <v>1</v>
      </c>
      <c r="H3" s="25" t="s">
        <v>486</v>
      </c>
      <c r="K3" s="51" t="s">
        <v>502</v>
      </c>
      <c r="L3" t="s">
        <v>480</v>
      </c>
    </row>
    <row r="4" spans="1:12" x14ac:dyDescent="0.3">
      <c r="A4" s="26" t="s">
        <v>22</v>
      </c>
      <c r="B4" s="27">
        <v>1464045</v>
      </c>
      <c r="C4" s="27">
        <v>111324460</v>
      </c>
      <c r="F4" s="25" t="s">
        <v>432</v>
      </c>
      <c r="G4" s="25" t="s">
        <v>433</v>
      </c>
      <c r="H4" s="29">
        <v>436.47838353663599</v>
      </c>
      <c r="K4" s="52" t="s">
        <v>490</v>
      </c>
      <c r="L4" s="5">
        <v>23701</v>
      </c>
    </row>
    <row r="5" spans="1:12" x14ac:dyDescent="0.3">
      <c r="A5" s="26" t="s">
        <v>25</v>
      </c>
      <c r="B5" s="27">
        <v>11197820</v>
      </c>
      <c r="C5" s="27">
        <v>376734075</v>
      </c>
      <c r="F5" s="25" t="s">
        <v>215</v>
      </c>
      <c r="G5" s="25" t="s">
        <v>216</v>
      </c>
      <c r="H5" s="29">
        <v>243.22274521431399</v>
      </c>
      <c r="K5" s="52" t="s">
        <v>491</v>
      </c>
      <c r="L5" s="5">
        <v>18588.399232560452</v>
      </c>
    </row>
    <row r="6" spans="1:12" x14ac:dyDescent="0.3">
      <c r="A6" s="26" t="s">
        <v>15</v>
      </c>
      <c r="B6" s="27">
        <v>6897985</v>
      </c>
      <c r="C6" s="27">
        <v>6962828</v>
      </c>
      <c r="F6" s="25" t="s">
        <v>400</v>
      </c>
      <c r="G6" s="25" t="s">
        <v>401</v>
      </c>
      <c r="H6" s="29">
        <v>145.83442593216401</v>
      </c>
      <c r="K6" s="52" t="s">
        <v>492</v>
      </c>
      <c r="L6" s="5">
        <v>34273.162913617118</v>
      </c>
    </row>
    <row r="7" spans="1:12" x14ac:dyDescent="0.3">
      <c r="A7" s="26" t="s">
        <v>30</v>
      </c>
      <c r="B7" s="27">
        <v>8477891</v>
      </c>
      <c r="C7" s="27">
        <v>163859311</v>
      </c>
      <c r="F7" s="25" t="s">
        <v>235</v>
      </c>
      <c r="G7" s="25" t="s">
        <v>236</v>
      </c>
      <c r="H7" s="29">
        <v>143.94369149084801</v>
      </c>
      <c r="K7" s="52" t="s">
        <v>493</v>
      </c>
      <c r="L7" s="5">
        <v>14781.162913617116</v>
      </c>
    </row>
    <row r="8" spans="1:12" x14ac:dyDescent="0.3">
      <c r="A8" s="26" t="s">
        <v>39</v>
      </c>
      <c r="B8" s="27">
        <v>19134047</v>
      </c>
      <c r="C8" s="27">
        <v>25344413</v>
      </c>
      <c r="F8" s="25" t="s">
        <v>217</v>
      </c>
      <c r="G8" s="25" t="s">
        <v>218</v>
      </c>
      <c r="H8" s="29">
        <v>130.97419430172801</v>
      </c>
      <c r="K8" s="52" t="s">
        <v>494</v>
      </c>
      <c r="L8" s="5">
        <v>37087</v>
      </c>
    </row>
    <row r="9" spans="1:12" x14ac:dyDescent="0.3">
      <c r="A9" s="26" t="s">
        <v>453</v>
      </c>
      <c r="B9" s="27">
        <v>47171788</v>
      </c>
      <c r="C9" s="27">
        <v>684225087</v>
      </c>
      <c r="F9" s="25" t="s">
        <v>353</v>
      </c>
      <c r="G9" s="25" t="s">
        <v>354</v>
      </c>
      <c r="H9" s="29">
        <v>123.932385688034</v>
      </c>
      <c r="K9" s="52" t="s">
        <v>495</v>
      </c>
      <c r="L9" s="5">
        <v>29241</v>
      </c>
    </row>
    <row r="10" spans="1:12" x14ac:dyDescent="0.3">
      <c r="F10" s="25" t="s">
        <v>233</v>
      </c>
      <c r="G10" s="25" t="s">
        <v>234</v>
      </c>
      <c r="H10" s="29">
        <v>119.02048389490901</v>
      </c>
      <c r="K10" s="52" t="s">
        <v>496</v>
      </c>
      <c r="L10" s="5">
        <v>21733</v>
      </c>
    </row>
    <row r="11" spans="1:12" x14ac:dyDescent="0.3">
      <c r="F11" s="25" t="s">
        <v>157</v>
      </c>
      <c r="G11" s="25" t="s">
        <v>158</v>
      </c>
      <c r="H11" s="29">
        <v>113.82971593937999</v>
      </c>
      <c r="K11" s="52" t="s">
        <v>497</v>
      </c>
      <c r="L11" s="5">
        <v>27983</v>
      </c>
    </row>
    <row r="12" spans="1:12" x14ac:dyDescent="0.3">
      <c r="A12" s="70" t="s">
        <v>489</v>
      </c>
      <c r="B12" s="72"/>
      <c r="F12" s="25" t="s">
        <v>291</v>
      </c>
      <c r="G12" s="25" t="s">
        <v>292</v>
      </c>
      <c r="H12" s="29">
        <v>112.275853328827</v>
      </c>
      <c r="K12" s="52" t="s">
        <v>498</v>
      </c>
      <c r="L12" s="5">
        <v>23851.328637858041</v>
      </c>
    </row>
    <row r="13" spans="1:12" x14ac:dyDescent="0.3">
      <c r="A13" s="72"/>
      <c r="B13" s="72"/>
      <c r="F13" s="25" t="s">
        <v>295</v>
      </c>
      <c r="G13" s="25" t="s">
        <v>296</v>
      </c>
      <c r="H13" s="29">
        <v>111.94672378088001</v>
      </c>
      <c r="K13" s="52" t="s">
        <v>499</v>
      </c>
      <c r="L13" s="5">
        <v>16049</v>
      </c>
    </row>
    <row r="14" spans="1:12" x14ac:dyDescent="0.3">
      <c r="A14" s="24" t="s">
        <v>482</v>
      </c>
      <c r="B14" s="25" t="s">
        <v>488</v>
      </c>
      <c r="K14" s="52" t="s">
        <v>500</v>
      </c>
      <c r="L14" s="5">
        <v>5013</v>
      </c>
    </row>
    <row r="15" spans="1:12" x14ac:dyDescent="0.3">
      <c r="A15" s="26" t="s">
        <v>22</v>
      </c>
      <c r="B15" s="27">
        <v>1464045</v>
      </c>
      <c r="K15" s="52" t="s">
        <v>501</v>
      </c>
      <c r="L15" s="5">
        <v>4381</v>
      </c>
    </row>
    <row r="16" spans="1:12" x14ac:dyDescent="0.3">
      <c r="A16" s="26" t="s">
        <v>25</v>
      </c>
      <c r="B16" s="27">
        <v>11197820</v>
      </c>
      <c r="K16" s="52" t="s">
        <v>453</v>
      </c>
      <c r="L16" s="5">
        <v>256682.05369765271</v>
      </c>
    </row>
    <row r="17" spans="1:3" x14ac:dyDescent="0.3">
      <c r="A17" s="26" t="s">
        <v>15</v>
      </c>
      <c r="B17" s="27">
        <v>6897985</v>
      </c>
    </row>
    <row r="18" spans="1:3" x14ac:dyDescent="0.3">
      <c r="A18" s="26" t="s">
        <v>30</v>
      </c>
      <c r="B18" s="27">
        <v>8477891</v>
      </c>
    </row>
    <row r="19" spans="1:3" x14ac:dyDescent="0.3">
      <c r="A19" s="26" t="s">
        <v>39</v>
      </c>
      <c r="B19" s="27">
        <v>19134047</v>
      </c>
    </row>
    <row r="20" spans="1:3" x14ac:dyDescent="0.3">
      <c r="A20" s="26" t="s">
        <v>453</v>
      </c>
      <c r="B20" s="27">
        <v>47171788</v>
      </c>
    </row>
    <row r="24" spans="1:3" x14ac:dyDescent="0.3">
      <c r="A24" t="s">
        <v>2</v>
      </c>
      <c r="B24" t="s">
        <v>483</v>
      </c>
      <c r="C24" t="s">
        <v>484</v>
      </c>
    </row>
    <row r="25" spans="1:3" x14ac:dyDescent="0.3">
      <c r="A25" t="s">
        <v>22</v>
      </c>
      <c r="B25" s="2">
        <v>1464045</v>
      </c>
      <c r="C25" s="2">
        <v>111324460</v>
      </c>
    </row>
    <row r="26" spans="1:3" x14ac:dyDescent="0.3">
      <c r="A26" t="s">
        <v>25</v>
      </c>
      <c r="B26" s="2">
        <v>11197820</v>
      </c>
      <c r="C26" s="2">
        <v>376734075</v>
      </c>
    </row>
    <row r="27" spans="1:3" x14ac:dyDescent="0.3">
      <c r="A27" t="s">
        <v>15</v>
      </c>
      <c r="B27" s="2">
        <v>6897985</v>
      </c>
      <c r="C27" s="2">
        <v>6962828</v>
      </c>
    </row>
    <row r="28" spans="1:3" x14ac:dyDescent="0.3">
      <c r="A28" t="s">
        <v>30</v>
      </c>
      <c r="B28" s="2">
        <v>8477891</v>
      </c>
      <c r="C28" s="2">
        <v>163859311</v>
      </c>
    </row>
    <row r="29" spans="1:3" x14ac:dyDescent="0.3">
      <c r="A29" t="s">
        <v>39</v>
      </c>
      <c r="B29" s="2">
        <v>19134047</v>
      </c>
      <c r="C29" s="2">
        <v>25344413</v>
      </c>
    </row>
    <row r="30" spans="1:3" x14ac:dyDescent="0.3">
      <c r="B30" s="2"/>
      <c r="C30" s="2"/>
    </row>
  </sheetData>
  <mergeCells count="4">
    <mergeCell ref="A1:C2"/>
    <mergeCell ref="F1:H2"/>
    <mergeCell ref="A12:B13"/>
    <mergeCell ref="K1:L2"/>
  </mergeCells>
  <pageMargins left="0.7" right="0.7" top="0.75" bottom="0.75" header="0.3" footer="0.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7FA7-62CF-4CA2-825D-2E7F3F7DBE9F}">
  <dimension ref="A1:AP4"/>
  <sheetViews>
    <sheetView showGridLines="0" tabSelected="1" zoomScale="48" zoomScaleNormal="53" workbookViewId="0">
      <selection activeCell="AQ36" sqref="AQ36"/>
    </sheetView>
  </sheetViews>
  <sheetFormatPr defaultRowHeight="14.4" x14ac:dyDescent="0.3"/>
  <sheetData>
    <row r="1" spans="1:42" x14ac:dyDescent="0.3">
      <c r="A1" s="54" t="s">
        <v>504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</row>
    <row r="2" spans="1:42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 spans="1:42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spans="1:42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</row>
  </sheetData>
  <mergeCells count="1">
    <mergeCell ref="A1:AP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1DAB6-5392-459A-98AE-D2C78F5BF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Sheet</vt:lpstr>
      <vt:lpstr>Pivot Tables</vt:lpstr>
      <vt:lpstr>Insights 1</vt:lpstr>
      <vt:lpstr>Insights 2</vt:lpstr>
      <vt:lpstr>Pivot Tables for Visualization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Bevnale</dc:creator>
  <cp:lastModifiedBy>Surajkumar Bevnale</cp:lastModifiedBy>
  <dcterms:created xsi:type="dcterms:W3CDTF">2026-07-09T08:13:11Z</dcterms:created>
  <dcterms:modified xsi:type="dcterms:W3CDTF">2026-07-17T08:43:04Z</dcterms:modified>
</cp:coreProperties>
</file>